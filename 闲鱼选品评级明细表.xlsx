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品看板" sheetId="1" state="visible" r:id="rId1"/>
    <sheet xmlns:r="http://schemas.openxmlformats.org/officeDocument/2006/relationships" name="品类评级" sheetId="2" state="visible" r:id="rId2"/>
    <sheet xmlns:r="http://schemas.openxmlformats.org/officeDocument/2006/relationships" name="SKU明细" sheetId="3" state="visible" r:id="rId3"/>
    <sheet xmlns:r="http://schemas.openxmlformats.org/officeDocument/2006/relationships" name="品牌品类矩阵" sheetId="4" state="visible" r:id="rId4"/>
    <sheet xmlns:r="http://schemas.openxmlformats.org/officeDocument/2006/relationships" name="定价与上架策略" sheetId="5" state="visible" r:id="rId5"/>
  </sheets>
  <definedNames>
    <definedName name="_xlnm._FilterDatabase" localSheetId="1" hidden="1">'品类评级'!$A$2:$W$106</definedName>
    <definedName name="_xlnm._FilterDatabase" localSheetId="2" hidden="1">'SKU明细'!$A$2:$N$607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¥#,##0"/>
    <numFmt numFmtId="166" formatCode="0.0"/>
  </numFmts>
  <fonts count="20">
    <font>
      <name val="Calibri"/>
      <family val="2"/>
      <color theme="1"/>
      <sz val="11"/>
      <scheme val="minor"/>
    </font>
    <font>
      <b val="1"/>
      <color rgb="FFFFFFFF"/>
      <sz val="15"/>
    </font>
    <font>
      <color rgb="FF6B7280"/>
      <sz val="9.5"/>
    </font>
    <font>
      <b val="1"/>
      <color rgb="FF2F5597"/>
      <sz val="17"/>
    </font>
    <font>
      <b val="1"/>
    </font>
    <font>
      <b val="1"/>
      <color rgb="FF2F5597"/>
    </font>
    <font>
      <b val="1"/>
      <color rgb="FFDC2626"/>
    </font>
    <font>
      <b val="1"/>
      <color rgb="FFEA580C"/>
    </font>
    <font>
      <b val="1"/>
      <color rgb="FFA16207"/>
    </font>
    <font>
      <b val="1"/>
      <color rgb="FF2563EB"/>
    </font>
    <font>
      <b val="1"/>
      <color rgb="FF6B7280"/>
    </font>
    <font>
      <b val="1"/>
      <color rgb="FF2F5597"/>
      <sz val="12"/>
    </font>
    <font>
      <b val="1"/>
      <color rgb="FFFFFFFF"/>
      <sz val="10"/>
    </font>
    <font>
      <b val="1"/>
      <color rgb="FFFFFFFF"/>
      <sz val="10.5"/>
    </font>
    <font>
      <b val="1"/>
      <color rgb="FFFFFFFF"/>
      <sz val="11.5"/>
    </font>
    <font>
      <b val="1"/>
      <color rgb="FFFFFFFF"/>
    </font>
    <font>
      <b val="1"/>
      <color rgb="FFFFFFFF"/>
      <sz val="13"/>
    </font>
    <font>
      <b val="1"/>
      <color rgb="FFFFFFFF"/>
      <sz val="12"/>
    </font>
    <font>
      <b val="1"/>
      <color rgb="FF2F5597"/>
      <sz val="10.5"/>
    </font>
    <font>
      <sz val="10"/>
    </font>
  </fonts>
  <fills count="7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EEF3FB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3" borderId="1" pivotButton="0" quotePrefix="0" xfId="0"/>
    <xf numFmtId="1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0" fontId="5" fillId="4" borderId="1" pivotButton="0" quotePrefix="0" xfId="0"/>
    <xf numFmtId="0" fontId="11" fillId="0" borderId="0" pivotButton="0" quotePrefix="0" xfId="0"/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164" fontId="0" fillId="5" borderId="1" pivotButton="0" quotePrefix="0" xfId="0"/>
    <xf numFmtId="0" fontId="12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left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4" fillId="2" borderId="0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center" vertical="top"/>
    </xf>
    <xf numFmtId="2" fontId="0" fillId="0" borderId="1" applyAlignment="1" pivotButton="0" quotePrefix="0" xfId="0">
      <alignment horizontal="center" vertical="top"/>
    </xf>
    <xf numFmtId="165" fontId="0" fillId="0" borderId="1" applyAlignment="1" pivotButton="0" quotePrefix="0" xfId="0">
      <alignment horizontal="center" vertical="top"/>
    </xf>
    <xf numFmtId="9" fontId="0" fillId="0" borderId="1" applyAlignment="1" pivotButton="0" quotePrefix="0" xfId="0">
      <alignment horizontal="center" vertical="top"/>
    </xf>
    <xf numFmtId="166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top"/>
    </xf>
    <xf numFmtId="1" fontId="0" fillId="0" borderId="1" applyAlignment="1" pivotButton="0" quotePrefix="0" xfId="0">
      <alignment horizontal="center" vertical="top"/>
    </xf>
    <xf numFmtId="0" fontId="4" fillId="3" borderId="1" pivotButton="0" quotePrefix="0" xfId="0"/>
    <xf numFmtId="0" fontId="0" fillId="3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" fontId="4" fillId="0" borderId="1" pivotButton="0" quotePrefix="0" xfId="0"/>
    <xf numFmtId="0" fontId="0" fillId="0" borderId="1" pivotButton="0" quotePrefix="0" xfId="0"/>
    <xf numFmtId="0" fontId="15" fillId="2" borderId="1" pivotButton="0" quotePrefix="0" xfId="0"/>
    <xf numFmtId="0" fontId="0" fillId="2" borderId="1" pivotButton="0" quotePrefix="0" xfId="0"/>
    <xf numFmtId="1" fontId="15" fillId="2" borderId="1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left" vertical="center" indent="1"/>
    </xf>
    <xf numFmtId="0" fontId="18" fillId="5" borderId="1" applyAlignment="1" pivotButton="0" quotePrefix="0" xfId="0">
      <alignment vertical="top" wrapText="1"/>
    </xf>
    <xf numFmtId="0" fontId="19" fillId="5" borderId="1" applyAlignment="1" pivotButton="0" quotePrefix="0" xfId="0">
      <alignment vertical="top" wrapText="1"/>
    </xf>
    <xf numFmtId="0" fontId="18" fillId="3" borderId="1" applyAlignment="1" pivotButton="0" quotePrefix="0" xfId="0">
      <alignment vertical="top" wrapText="1"/>
    </xf>
    <xf numFmtId="0" fontId="19" fillId="3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b val="1"/>
        <color rgb="FFDC2626"/>
      </font>
      <fill>
        <patternFill patternType="solid">
          <fgColor rgb="FFFEF2F2"/>
        </patternFill>
      </fill>
    </dxf>
    <dxf>
      <font>
        <b val="1"/>
        <color rgb="FFEA580C"/>
      </font>
      <fill>
        <patternFill patternType="solid">
          <fgColor rgb="FFFFF7ED"/>
        </patternFill>
      </fill>
    </dxf>
    <dxf>
      <font>
        <b val="1"/>
        <color rgb="FFA16207"/>
      </font>
      <fill>
        <patternFill patternType="solid">
          <fgColor rgb="FFFEFCE8"/>
        </patternFill>
      </fill>
    </dxf>
    <dxf>
      <font>
        <b val="1"/>
        <color rgb="FF2563EB"/>
      </font>
      <fill>
        <patternFill patternType="solid">
          <fgColor rgb="FFEFF6FF"/>
        </patternFill>
      </fill>
    </dxf>
    <dxf>
      <font>
        <b val="1"/>
        <color rgb="FF6B7280"/>
      </font>
      <fill>
        <patternFill patternType="solid">
          <fgColor rgb="FFF9FAFB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各评级 SKU 数量分布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'选品看板'!C24</f>
            </strRef>
          </tx>
          <spPr>
            <a:ln xmlns:a="http://schemas.openxmlformats.org/drawingml/2006/main">
              <a:prstDash val="solid"/>
            </a:ln>
          </spPr>
          <cat>
            <numRef>
              <f>'选品看板'!$A$25:$A$29</f>
            </numRef>
          </cat>
          <val>
            <numRef>
              <f>'选品看板'!$C$25:$C$29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SKU 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SKU 评级占比</a:t>
            </a:r>
          </a:p>
        </rich>
      </tx>
    </title>
    <plotArea>
      <pieChart>
        <varyColors val="1"/>
        <ser>
          <idx val="0"/>
          <order val="0"/>
          <tx>
            <strRef>
              <f>'选品看板'!D24</f>
            </strRef>
          </tx>
          <spPr>
            <a:ln xmlns:a="http://schemas.openxmlformats.org/drawingml/2006/main">
              <a:prstDash val="solid"/>
            </a:ln>
          </spPr>
          <cat>
            <numRef>
              <f>'选品看板'!$A$25:$A$29</f>
            </numRef>
          </cat>
          <val>
            <numRef>
              <f>'选品看板'!$D$25:$D$29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5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472C4"/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  <col width="16" customWidth="1" min="6" max="6"/>
    <col width="10" customWidth="1" min="7" max="7"/>
    <col width="12" customWidth="1" min="8" max="8"/>
    <col width="14" customWidth="1" min="9" max="9"/>
    <col width="4" customWidth="1" min="10" max="10"/>
  </cols>
  <sheetData>
    <row r="1" ht="32" customHeight="1">
      <c r="A1" s="1" t="inlineStr">
        <is>
          <t>闲鱼选品评级看板 · 产品编码表全量评估</t>
        </is>
      </c>
    </row>
    <row r="2">
      <c r="A2" s="2" t="inlineStr">
        <is>
          <t>数据源：产品编码.xlsx（7品牌 605 SKU）｜测算依据：闲鱼实时在售竞品价格分位、想要热度、竞争格局｜生成日期：2026-10-30</t>
        </is>
      </c>
    </row>
    <row r="3" ht="18" customHeight="1">
      <c r="A3" s="3" t="inlineStr">
        <is>
          <t>评估品类数</t>
        </is>
      </c>
      <c r="B3" s="4" t="n"/>
      <c r="C3" s="3" t="inlineStr">
        <is>
          <t>可上架SKU数</t>
        </is>
      </c>
      <c r="D3" s="4" t="n"/>
      <c r="E3" s="3" t="inlineStr">
        <is>
          <t>S级爆款品类</t>
        </is>
      </c>
      <c r="F3" s="4" t="n"/>
      <c r="G3" s="3" t="inlineStr">
        <is>
          <t>A级铺货品类</t>
        </is>
      </c>
      <c r="H3" s="4" t="n"/>
      <c r="I3" s="3" t="inlineStr">
        <is>
          <t>主推SKU占比</t>
        </is>
      </c>
      <c r="J3" s="4" t="n"/>
    </row>
    <row r="4" ht="30" customHeight="1">
      <c r="A4" s="5">
        <f>COUNTA(品类评级!B3:B106)</f>
        <v>104.0</v>
      </c>
      <c r="B4" s="4" t="n"/>
      <c r="C4" s="5">
        <f>COUNTA(SKU明细!B3:B607)</f>
        <v>605.0</v>
      </c>
      <c r="D4" s="4" t="n"/>
      <c r="E4" s="5">
        <f>COUNTIF(品类评级!C3:C106,"S")</f>
        <v>1.0</v>
      </c>
      <c r="F4" s="4" t="n"/>
      <c r="G4" s="5">
        <f>COUNTIF(品类评级!C3:C106,"A")</f>
        <v>16.0</v>
      </c>
      <c r="H4" s="4" t="n"/>
      <c r="I4" s="6">
        <f>IFERROR((COUNTIF(SKU明细!C3:C607,"S")+COUNTIF(SKU明细!C3:C607,"A"))/COUNTA(SKU明细!B3:B607),"")</f>
        <v>0.11570247933884298</v>
      </c>
      <c r="J4" s="4" t="n"/>
    </row>
    <row r="24">
      <c r="A24" s="7" t="inlineStr">
        <is>
          <t>评级</t>
        </is>
      </c>
      <c r="B24" s="7" t="inlineStr">
        <is>
          <t>品类数</t>
        </is>
      </c>
      <c r="C24" s="7" t="inlineStr">
        <is>
          <t>SKU数</t>
        </is>
      </c>
      <c r="D24" s="7" t="inlineStr">
        <is>
          <t>SKU占比</t>
        </is>
      </c>
      <c r="F24" s="8" t="inlineStr">
        <is>
          <t>Top 12 优先铺货品类</t>
        </is>
      </c>
    </row>
    <row r="25">
      <c r="A25" s="9" t="inlineStr">
        <is>
          <t>S</t>
        </is>
      </c>
      <c r="B25" s="10">
        <f>COUNTIF(品类评级!C3:C106,"S")</f>
        <v>1.0</v>
      </c>
      <c r="C25" s="10">
        <f>COUNTIF(SKU明细!C3:C607,"S")</f>
        <v>23.0</v>
      </c>
      <c r="D25" s="11">
        <f>IFERROR(C25/COUNTA(SKU明细!B3:B607),"")</f>
        <v>0.03801652892561983</v>
      </c>
      <c r="F25" s="12" t="inlineStr">
        <is>
          <t>品类</t>
        </is>
      </c>
      <c r="G25" s="12" t="inlineStr">
        <is>
          <t>评级</t>
        </is>
      </c>
      <c r="H25" s="12" t="inlineStr">
        <is>
          <t>评分</t>
        </is>
      </c>
      <c r="I25" s="12" t="inlineStr">
        <is>
          <t>建议售价</t>
        </is>
      </c>
      <c r="J25" s="12" t="inlineStr">
        <is>
          <t>区间</t>
        </is>
      </c>
    </row>
    <row r="26">
      <c r="A26" s="13" t="inlineStr">
        <is>
          <t>A</t>
        </is>
      </c>
      <c r="B26" s="10">
        <f>COUNTIF(品类评级!C3:C106,"A")</f>
        <v>16.0</v>
      </c>
      <c r="C26" s="10">
        <f>COUNTIF(SKU明细!C3:C607,"A")</f>
        <v>47.0</v>
      </c>
      <c r="D26" s="11">
        <f>IFERROR(C26/COUNTA(SKU明细!B3:B607),"")</f>
        <v>0.07768595041322314</v>
      </c>
      <c r="F26" s="14" t="inlineStr">
        <is>
          <t>剃须刀刀头</t>
        </is>
      </c>
      <c r="G26" s="15" t="inlineStr">
        <is>
          <t>S</t>
        </is>
      </c>
      <c r="H26" s="16" t="n">
        <v>8.17</v>
      </c>
      <c r="I26" s="17" t="n">
        <v>12</v>
      </c>
      <c r="J26" s="18" t="inlineStr">
        <is>
          <t>¥9–15</t>
        </is>
      </c>
    </row>
    <row r="27">
      <c r="A27" s="19" t="inlineStr">
        <is>
          <t>B</t>
        </is>
      </c>
      <c r="B27" s="10">
        <f>COUNTIF(品类评级!C3:C106,"B")</f>
        <v>64.0</v>
      </c>
      <c r="C27" s="10">
        <f>COUNTIF(SKU明细!C3:C607,"B")</f>
        <v>428.0</v>
      </c>
      <c r="D27" s="11">
        <f>IFERROR(C27/COUNTA(SKU明细!B3:B607),"")</f>
        <v>0.7074380165289256</v>
      </c>
      <c r="F27" s="14" t="inlineStr">
        <is>
          <t>真空封口机</t>
        </is>
      </c>
      <c r="G27" s="20" t="inlineStr">
        <is>
          <t>A</t>
        </is>
      </c>
      <c r="H27" s="16" t="n">
        <v>7.11</v>
      </c>
      <c r="I27" s="17" t="n">
        <v>26</v>
      </c>
      <c r="J27" s="18" t="inlineStr">
        <is>
          <t>¥24–29</t>
        </is>
      </c>
    </row>
    <row r="28">
      <c r="A28" s="21" t="inlineStr">
        <is>
          <t>C</t>
        </is>
      </c>
      <c r="B28" s="10">
        <f>COUNTIF(品类评级!C3:C106,"C")</f>
        <v>22.0</v>
      </c>
      <c r="C28" s="10">
        <f>COUNTIF(SKU明细!C3:C607,"C")</f>
        <v>103.0</v>
      </c>
      <c r="D28" s="11">
        <f>IFERROR(C28/COUNTA(SKU明细!B3:B607),"")</f>
        <v>0.17024793388429751</v>
      </c>
      <c r="F28" s="14" t="inlineStr">
        <is>
          <t>高速吹风机</t>
        </is>
      </c>
      <c r="G28" s="20" t="inlineStr">
        <is>
          <t>A</t>
        </is>
      </c>
      <c r="H28" s="16" t="n">
        <v>6.93</v>
      </c>
      <c r="I28" s="17" t="n">
        <v>55</v>
      </c>
      <c r="J28" s="18" t="inlineStr">
        <is>
          <t>¥42–68</t>
        </is>
      </c>
    </row>
    <row r="29">
      <c r="A29" s="22" t="inlineStr">
        <is>
          <t>D</t>
        </is>
      </c>
      <c r="B29" s="10">
        <f>COUNTIF(品类评级!C3:C106,"D")</f>
        <v>1.0</v>
      </c>
      <c r="C29" s="10">
        <f>COUNTIF(SKU明细!C3:C607,"D")</f>
        <v>4.0</v>
      </c>
      <c r="D29" s="11">
        <f>IFERROR(C29/COUNTA(SKU明细!B3:B607),"")</f>
        <v>0.006611570247933884</v>
      </c>
      <c r="F29" s="14" t="inlineStr">
        <is>
          <t>宠物修剪器</t>
        </is>
      </c>
      <c r="G29" s="20" t="inlineStr">
        <is>
          <t>A</t>
        </is>
      </c>
      <c r="H29" s="16" t="n">
        <v>6.92</v>
      </c>
      <c r="I29" s="17" t="n">
        <v>18</v>
      </c>
      <c r="J29" s="18" t="inlineStr">
        <is>
          <t>¥16–19</t>
        </is>
      </c>
    </row>
    <row r="30">
      <c r="F30" s="14" t="inlineStr">
        <is>
          <t>保暖口罩</t>
        </is>
      </c>
      <c r="G30" s="20" t="inlineStr">
        <is>
          <t>A</t>
        </is>
      </c>
      <c r="H30" s="16" t="n">
        <v>6.87</v>
      </c>
      <c r="I30" s="17" t="n">
        <v>16</v>
      </c>
      <c r="J30" s="18" t="inlineStr">
        <is>
          <t>¥15–16</t>
        </is>
      </c>
    </row>
    <row r="31">
      <c r="F31" s="14" t="inlineStr">
        <is>
          <t>手动刮胡刀</t>
        </is>
      </c>
      <c r="G31" s="20" t="inlineStr">
        <is>
          <t>A</t>
        </is>
      </c>
      <c r="H31" s="16" t="n">
        <v>6.82</v>
      </c>
      <c r="I31" s="17" t="n">
        <v>24</v>
      </c>
      <c r="J31" s="18" t="inlineStr">
        <is>
          <t>¥20–29</t>
        </is>
      </c>
    </row>
    <row r="32">
      <c r="F32" s="14" t="inlineStr">
        <is>
          <t>机油</t>
        </is>
      </c>
      <c r="G32" s="20" t="inlineStr">
        <is>
          <t>A</t>
        </is>
      </c>
      <c r="H32" s="16" t="n">
        <v>6.8</v>
      </c>
      <c r="I32" s="17" t="n">
        <v>28</v>
      </c>
      <c r="J32" s="18" t="inlineStr">
        <is>
          <t>¥17–40</t>
        </is>
      </c>
    </row>
    <row r="33">
      <c r="F33" s="14" t="inlineStr">
        <is>
          <t>迷你清洗杯</t>
        </is>
      </c>
      <c r="G33" s="20" t="inlineStr">
        <is>
          <t>A</t>
        </is>
      </c>
      <c r="H33" s="16" t="n">
        <v>6.8</v>
      </c>
      <c r="I33" s="17" t="n">
        <v>2</v>
      </c>
      <c r="J33" s="18" t="inlineStr">
        <is>
          <t>¥2–3</t>
        </is>
      </c>
    </row>
    <row r="34">
      <c r="F34" s="14" t="inlineStr">
        <is>
          <t>小气泡美容仪</t>
        </is>
      </c>
      <c r="G34" s="20" t="inlineStr">
        <is>
          <t>A</t>
        </is>
      </c>
      <c r="H34" s="16" t="n">
        <v>6.79</v>
      </c>
      <c r="I34" s="17" t="n">
        <v>122</v>
      </c>
      <c r="J34" s="18" t="inlineStr">
        <is>
          <t>¥105–139</t>
        </is>
      </c>
    </row>
    <row r="35">
      <c r="F35" s="14" t="inlineStr">
        <is>
          <t>防晒口罩</t>
        </is>
      </c>
      <c r="G35" s="20" t="inlineStr">
        <is>
          <t>A</t>
        </is>
      </c>
      <c r="H35" s="16" t="n">
        <v>6.77</v>
      </c>
      <c r="I35" s="17" t="n">
        <v>14</v>
      </c>
      <c r="J35" s="18" t="inlineStr">
        <is>
          <t>¥13–14</t>
        </is>
      </c>
    </row>
    <row r="36">
      <c r="F36" s="14" t="inlineStr">
        <is>
          <t>电动修眉刀</t>
        </is>
      </c>
      <c r="G36" s="20" t="inlineStr">
        <is>
          <t>A</t>
        </is>
      </c>
      <c r="H36" s="16" t="n">
        <v>6.69</v>
      </c>
      <c r="I36" s="17" t="n">
        <v>12</v>
      </c>
      <c r="J36" s="18" t="inlineStr">
        <is>
          <t>¥12–13</t>
        </is>
      </c>
    </row>
    <row r="37">
      <c r="F37" s="14" t="inlineStr">
        <is>
          <t>超声波清洗机</t>
        </is>
      </c>
      <c r="G37" s="20" t="inlineStr">
        <is>
          <t>A</t>
        </is>
      </c>
      <c r="H37" s="16" t="n">
        <v>6.69</v>
      </c>
      <c r="I37" s="17" t="n">
        <v>50</v>
      </c>
      <c r="J37" s="18" t="inlineStr">
        <is>
          <t>¥40–59</t>
        </is>
      </c>
    </row>
  </sheetData>
  <mergeCells count="13">
    <mergeCell ref="A4:B4"/>
    <mergeCell ref="G4:H4"/>
    <mergeCell ref="A1:J1"/>
    <mergeCell ref="E4:F4"/>
    <mergeCell ref="I4:J4"/>
    <mergeCell ref="I3:J3"/>
    <mergeCell ref="F24:J24"/>
    <mergeCell ref="A2:J2"/>
    <mergeCell ref="C3:D3"/>
    <mergeCell ref="A3:B3"/>
    <mergeCell ref="G3:H3"/>
    <mergeCell ref="E3:F3"/>
    <mergeCell ref="C4:D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>
  <sheetPr>
    <tabColor rgb="FF2F5597"/>
    <outlinePr summaryBelow="1" summaryRight="1"/>
    <pageSetUpPr/>
  </sheetPr>
  <dimension ref="A1:W10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7" customWidth="1" min="3" max="3"/>
    <col width="10" customWidth="1" min="4" max="4"/>
    <col width="12" customWidth="1" min="5" max="5"/>
    <col width="11" customWidth="1" min="6" max="6"/>
    <col width="12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62" customWidth="1" min="22" max="22"/>
    <col width="46" customWidth="1" min="23" max="23"/>
  </cols>
  <sheetData>
    <row r="1" ht="26" customHeight="1">
      <c r="A1" s="23" t="inlineStr">
        <is>
          <t>品类评级明细（评分 = 需求26% + 利润20% + 竞争16% + 售后14% + 合规10% + 新手9% + 复购5%，再按品牌力与合规红线调整）</t>
        </is>
      </c>
    </row>
    <row r="2" ht="30" customHeight="1">
      <c r="A2" s="24" t="inlineStr">
        <is>
          <t>序号</t>
        </is>
      </c>
      <c r="B2" s="24" t="inlineStr">
        <is>
          <t>品类</t>
        </is>
      </c>
      <c r="C2" s="24" t="inlineStr">
        <is>
          <t>评级</t>
        </is>
      </c>
      <c r="D2" s="24" t="inlineStr">
        <is>
          <t>综合评分</t>
        </is>
      </c>
      <c r="E2" s="24" t="inlineStr">
        <is>
          <t>竞品中位价</t>
        </is>
      </c>
      <c r="F2" s="24" t="inlineStr">
        <is>
          <t>建议售价</t>
        </is>
      </c>
      <c r="G2" s="24" t="inlineStr">
        <is>
          <t>建议区间</t>
        </is>
      </c>
      <c r="H2" s="24" t="inlineStr">
        <is>
          <t>最低可接受价</t>
        </is>
      </c>
      <c r="I2" s="24" t="inlineStr">
        <is>
          <t>竞品P25</t>
        </is>
      </c>
      <c r="J2" s="24" t="inlineStr">
        <is>
          <t>竞品P75</t>
        </is>
      </c>
      <c r="K2" s="24" t="inlineStr">
        <is>
          <t>想要中位</t>
        </is>
      </c>
      <c r="L2" s="24" t="inlineStr">
        <is>
          <t>在售样本</t>
        </is>
      </c>
      <c r="M2" s="24" t="inlineStr">
        <is>
          <t>全新占比</t>
        </is>
      </c>
      <c r="N2" s="24" t="inlineStr">
        <is>
          <t>需求</t>
        </is>
      </c>
      <c r="O2" s="24" t="inlineStr">
        <is>
          <t>利润</t>
        </is>
      </c>
      <c r="P2" s="24" t="inlineStr">
        <is>
          <t>竞争</t>
        </is>
      </c>
      <c r="Q2" s="24" t="inlineStr">
        <is>
          <t>售后</t>
        </is>
      </c>
      <c r="R2" s="24" t="inlineStr">
        <is>
          <t>合规</t>
        </is>
      </c>
      <c r="S2" s="24" t="inlineStr">
        <is>
          <t>新手</t>
        </is>
      </c>
      <c r="T2" s="24" t="inlineStr">
        <is>
          <t>复购</t>
        </is>
      </c>
      <c r="U2" s="24" t="inlineStr">
        <is>
          <t>SKU数</t>
        </is>
      </c>
      <c r="V2" s="24" t="inlineStr">
        <is>
          <t>推荐理由</t>
        </is>
      </c>
      <c r="W2" s="24" t="inlineStr">
        <is>
          <t>行动建议</t>
        </is>
      </c>
    </row>
    <row r="3" ht="58" customHeight="1">
      <c r="A3" s="25" t="n">
        <v>1</v>
      </c>
      <c r="B3" s="26" t="inlineStr">
        <is>
          <t>剃须刀刀头</t>
        </is>
      </c>
      <c r="C3" s="27" t="inlineStr">
        <is>
          <t>S</t>
        </is>
      </c>
      <c r="D3" s="28" t="n">
        <v>8.17</v>
      </c>
      <c r="E3" s="29" t="n">
        <v>15</v>
      </c>
      <c r="F3" s="29" t="n">
        <v>12</v>
      </c>
      <c r="G3" s="25" t="inlineStr">
        <is>
          <t>¥9–15</t>
        </is>
      </c>
      <c r="H3" s="29" t="n">
        <v>8</v>
      </c>
      <c r="I3" s="29" t="n">
        <v>11</v>
      </c>
      <c r="J3" s="29" t="n">
        <v>26</v>
      </c>
      <c r="K3" s="25" t="n">
        <v>113</v>
      </c>
      <c r="L3" s="25" t="n">
        <v>30</v>
      </c>
      <c r="M3" s="30" t="n">
        <v>0.6</v>
      </c>
      <c r="N3" s="31" t="n">
        <v>9.1</v>
      </c>
      <c r="O3" s="31" t="n">
        <v>5.5</v>
      </c>
      <c r="P3" s="31" t="n">
        <v>6.5</v>
      </c>
      <c r="Q3" s="31" t="n">
        <v>8</v>
      </c>
      <c r="R3" s="31" t="n">
        <v>10</v>
      </c>
      <c r="S3" s="31" t="n">
        <v>10</v>
      </c>
      <c r="T3" s="31" t="n">
        <v>10</v>
      </c>
      <c r="U3" s="26">
        <f>COUNTIF(SKU明细!D3:D607,B3)</f>
        <v>23.0</v>
      </c>
      <c r="V3" s="32" t="inlineStr">
        <is>
          <t>需求端表现突出：Top30 在售商品的「想要」人数中位数达 113，合计 8497 人次，说明该品类在闲鱼有稳定的自然搜索承接力；价格中等：全新竞品中位价 ¥15，主流带 ¥11–26，薄利走量，需控运损；竞争中等：Top30 中出现 5 个不同品牌，需要在主图和标题上做出差异；售后偏高：属电器/易损品类，需提前说明退换规则，建议保留开箱视频；⚠️ 合规强监管：属强资质敏感品类，资质/标签/宣称任一不合规即触发下架或扣分；耗材属性强：可与主机绑定做「主品+耗材」复购套餐，锁定回头客；新手友好：商品好描述、体积小发货轻、决策快，适合铺量上架</t>
        </is>
      </c>
      <c r="W3" s="32" t="inlineStr">
        <is>
          <t>全员力推，首批打满库存；标题带「全新未拆封+实拍」，主图放品牌背书</t>
        </is>
      </c>
    </row>
    <row r="4" ht="58" customHeight="1">
      <c r="A4" s="25" t="n">
        <v>2</v>
      </c>
      <c r="B4" s="26" t="inlineStr">
        <is>
          <t>真空封口机</t>
        </is>
      </c>
      <c r="C4" s="33" t="inlineStr">
        <is>
          <t>A</t>
        </is>
      </c>
      <c r="D4" s="28" t="n">
        <v>7.11</v>
      </c>
      <c r="E4" s="29" t="n">
        <v>29</v>
      </c>
      <c r="F4" s="29" t="n">
        <v>26</v>
      </c>
      <c r="G4" s="25" t="inlineStr">
        <is>
          <t>¥24–29</t>
        </is>
      </c>
      <c r="H4" s="29" t="n">
        <v>15</v>
      </c>
      <c r="I4" s="29" t="n">
        <v>25</v>
      </c>
      <c r="J4" s="29" t="n">
        <v>35</v>
      </c>
      <c r="K4" s="25" t="n">
        <v>78</v>
      </c>
      <c r="L4" s="25" t="n">
        <v>30</v>
      </c>
      <c r="M4" s="30" t="n">
        <v>0.8</v>
      </c>
      <c r="N4" s="31" t="n">
        <v>8.5</v>
      </c>
      <c r="O4" s="31" t="n">
        <v>6.8</v>
      </c>
      <c r="P4" s="31" t="n">
        <v>6.2</v>
      </c>
      <c r="Q4" s="31" t="n">
        <v>3</v>
      </c>
      <c r="R4" s="31" t="n">
        <v>10</v>
      </c>
      <c r="S4" s="31" t="n">
        <v>8</v>
      </c>
      <c r="T4" s="31" t="n">
        <v>6</v>
      </c>
      <c r="U4" s="26">
        <f>COUNTIF(SKU明细!D3:D607,B4)</f>
        <v>9.0</v>
      </c>
      <c r="V4" s="32" t="inlineStr">
        <is>
          <t>需求端表现突出：Top30 在售商品的「想要」人数中位数达 78，合计 9156 人次，说明该品类在闲鱼有稳定的自然搜索承接力；价格中等：全新竞品中位价 ¥29，主流带 ¥25–35，薄利走量，需控运损；竞争中等：Top30 中出现 2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4" s="32" t="inlineStr">
        <is>
          <t>重点铺货，建议配 3-5 个颜色SKU组套出图；可做「主推+搭售」组合</t>
        </is>
      </c>
    </row>
    <row r="5" ht="58" customHeight="1">
      <c r="A5" s="25" t="n">
        <v>3</v>
      </c>
      <c r="B5" s="26" t="inlineStr">
        <is>
          <t>高速吹风机</t>
        </is>
      </c>
      <c r="C5" s="33" t="inlineStr">
        <is>
          <t>A</t>
        </is>
      </c>
      <c r="D5" s="28" t="n">
        <v>6.93</v>
      </c>
      <c r="E5" s="29" t="n">
        <v>68</v>
      </c>
      <c r="F5" s="29" t="n">
        <v>55</v>
      </c>
      <c r="G5" s="25" t="inlineStr">
        <is>
          <t>¥42–68</t>
        </is>
      </c>
      <c r="H5" s="29" t="n">
        <v>36</v>
      </c>
      <c r="I5" s="29" t="n">
        <v>42</v>
      </c>
      <c r="J5" s="29" t="n">
        <v>80</v>
      </c>
      <c r="K5" s="25" t="n">
        <v>41</v>
      </c>
      <c r="L5" s="25" t="n">
        <v>30</v>
      </c>
      <c r="M5" s="30" t="n">
        <v>0.77</v>
      </c>
      <c r="N5" s="31" t="n">
        <v>6.6</v>
      </c>
      <c r="O5" s="31" t="n">
        <v>8.5</v>
      </c>
      <c r="P5" s="31" t="n">
        <v>6.6</v>
      </c>
      <c r="Q5" s="31" t="n">
        <v>2</v>
      </c>
      <c r="R5" s="31" t="n">
        <v>9</v>
      </c>
      <c r="S5" s="31" t="n">
        <v>7</v>
      </c>
      <c r="T5" s="31" t="n">
        <v>6</v>
      </c>
      <c r="U5" s="26">
        <f>COUNTIF(SKU明细!D3:D607,B5)</f>
        <v>2.0</v>
      </c>
      <c r="V5" s="32" t="inlineStr">
        <is>
          <t>需求端表现突出：Top30 在售商品的「想要」人数中位数达 41，合计 7295 人次，说明该品类在闲鱼有稳定的自然搜索承接力；单件利润空间可观：全新竞品中位价 ¥68，P25–P75 主流带 ¥42–80，有腾挪定价空间；竞争中等：Top30 中出现 3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</t>
        </is>
      </c>
      <c r="W5" s="32" t="inlineStr">
        <is>
          <t>重点铺货，建议配 3-5 个颜色SKU组套出图；可做「主推+搭售」组合</t>
        </is>
      </c>
    </row>
    <row r="6" ht="58" customHeight="1">
      <c r="A6" s="25" t="n">
        <v>4</v>
      </c>
      <c r="B6" s="26" t="inlineStr">
        <is>
          <t>宠物修剪器</t>
        </is>
      </c>
      <c r="C6" s="33" t="inlineStr">
        <is>
          <t>A</t>
        </is>
      </c>
      <c r="D6" s="28" t="n">
        <v>6.92</v>
      </c>
      <c r="E6" s="29" t="n">
        <v>19</v>
      </c>
      <c r="F6" s="29" t="n">
        <v>18</v>
      </c>
      <c r="G6" s="25" t="inlineStr">
        <is>
          <t>¥16–19</t>
        </is>
      </c>
      <c r="H6" s="29" t="n">
        <v>15</v>
      </c>
      <c r="I6" s="29" t="n">
        <v>17</v>
      </c>
      <c r="J6" s="29" t="n">
        <v>32</v>
      </c>
      <c r="K6" s="25" t="n">
        <v>156</v>
      </c>
      <c r="L6" s="25" t="n">
        <v>30</v>
      </c>
      <c r="M6" s="30" t="n">
        <v>0.77</v>
      </c>
      <c r="N6" s="31" t="n">
        <v>9.699999999999999</v>
      </c>
      <c r="O6" s="31" t="n">
        <v>6</v>
      </c>
      <c r="P6" s="31" t="n">
        <v>6.6</v>
      </c>
      <c r="Q6" s="31" t="n">
        <v>2</v>
      </c>
      <c r="R6" s="31" t="n">
        <v>10</v>
      </c>
      <c r="S6" s="31" t="n">
        <v>7</v>
      </c>
      <c r="T6" s="31" t="n">
        <v>5</v>
      </c>
      <c r="U6" s="26">
        <f>COUNTIF(SKU明细!D3:D607,B6)</f>
        <v>1.0</v>
      </c>
      <c r="V6" s="32" t="inlineStr">
        <is>
          <t>需求端表现突出：Top30 在售商品的「想要」人数中位数达 156，合计 3708 人次，说明该品类在闲鱼有稳定的自然搜索承接力；价格中等：全新竞品中位价 ¥19，主流带 ¥17–32，薄利走量，需控运损；竞争中等：Top30 中出现 0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</t>
        </is>
      </c>
      <c r="W6" s="32" t="inlineStr">
        <is>
          <t>重点铺货，建议配 3-5 个颜色SKU组套出图；可做「主推+搭售」组合</t>
        </is>
      </c>
    </row>
    <row r="7" ht="58" customHeight="1">
      <c r="A7" s="25" t="n">
        <v>5</v>
      </c>
      <c r="B7" s="26" t="inlineStr">
        <is>
          <t>保暖口罩</t>
        </is>
      </c>
      <c r="C7" s="33" t="inlineStr">
        <is>
          <t>A</t>
        </is>
      </c>
      <c r="D7" s="28" t="n">
        <v>6.87</v>
      </c>
      <c r="E7" s="29" t="n">
        <v>16</v>
      </c>
      <c r="F7" s="29" t="n">
        <v>16</v>
      </c>
      <c r="G7" s="25" t="inlineStr">
        <is>
          <t>¥15–16</t>
        </is>
      </c>
      <c r="H7" s="29" t="n">
        <v>13</v>
      </c>
      <c r="I7" s="29" t="n">
        <v>15</v>
      </c>
      <c r="J7" s="29" t="n">
        <v>18</v>
      </c>
      <c r="K7" s="25" t="n">
        <v>112.5</v>
      </c>
      <c r="L7" s="25" t="n">
        <v>30</v>
      </c>
      <c r="M7" s="30" t="n">
        <v>0.77</v>
      </c>
      <c r="N7" s="31" t="n">
        <v>9.1</v>
      </c>
      <c r="O7" s="31" t="n">
        <v>5.7</v>
      </c>
      <c r="P7" s="31" t="n">
        <v>6.3</v>
      </c>
      <c r="Q7" s="31" t="n">
        <v>5</v>
      </c>
      <c r="R7" s="31" t="n">
        <v>5</v>
      </c>
      <c r="S7" s="31" t="n">
        <v>9</v>
      </c>
      <c r="T7" s="31" t="n">
        <v>7</v>
      </c>
      <c r="U7" s="26">
        <f>COUNTIF(SKU明细!D3:D607,B7)</f>
        <v>3.0</v>
      </c>
      <c r="V7" s="32" t="inlineStr">
        <is>
          <t>需求端表现突出：Top30 在售商品的「想要」人数中位数达 112，合计 8568 人次，说明该品类在闲鱼有稳定的自然搜索承接力；价格中等：全新竞品中位价 ¥16，主流带 ¥15–18，薄利走量，需控运损；竞争中等：Top30 中出现 1 个不同品牌，需要在主图和标题上做出差异；售后可控：常规小家电，做好成色描述与功能实测视频即可；宣称需克制：文案避免「治疗/根治/祛斑」等医疗功效词，用「清洁/护理/辅助」表述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7" s="32" t="inlineStr">
        <is>
          <t>重点铺货，建议配 3-5 个颜色SKU组套出图；可做「主推+搭售」组合</t>
        </is>
      </c>
    </row>
    <row r="8" ht="58" customHeight="1">
      <c r="A8" s="25" t="n">
        <v>6</v>
      </c>
      <c r="B8" s="26" t="inlineStr">
        <is>
          <t>配件周边</t>
        </is>
      </c>
      <c r="C8" s="34" t="inlineStr">
        <is>
          <t>D</t>
        </is>
      </c>
      <c r="D8" s="28" t="n">
        <v>6.85</v>
      </c>
      <c r="E8" s="29" t="n">
        <v>37</v>
      </c>
      <c r="F8" s="29" t="n">
        <v>20</v>
      </c>
      <c r="G8" s="25" t="inlineStr">
        <is>
          <t>¥16–23</t>
        </is>
      </c>
      <c r="H8" s="29" t="n">
        <v>15</v>
      </c>
      <c r="I8" s="29" t="n">
        <v>27</v>
      </c>
      <c r="J8" s="29" t="n">
        <v>56</v>
      </c>
      <c r="K8" s="25" t="n">
        <v>13</v>
      </c>
      <c r="L8" s="25" t="n">
        <v>30</v>
      </c>
      <c r="M8" s="30" t="n">
        <v>0.77</v>
      </c>
      <c r="N8" s="31" t="n">
        <v>4.6</v>
      </c>
      <c r="O8" s="31" t="n">
        <v>6.9</v>
      </c>
      <c r="P8" s="31" t="n">
        <v>5.6</v>
      </c>
      <c r="Q8" s="31" t="n">
        <v>9</v>
      </c>
      <c r="R8" s="31" t="n">
        <v>10</v>
      </c>
      <c r="S8" s="31" t="n">
        <v>9</v>
      </c>
      <c r="T8" s="31" t="n">
        <v>3</v>
      </c>
      <c r="U8" s="26">
        <f>COUNTIF(SKU明细!D3:D607,B8)</f>
        <v>4.0</v>
      </c>
      <c r="V8" s="32" t="inlineStr">
        <is>
          <t>需求极弱：「想要」人数中位数 13，几乎无自然流量承接；价格中等：全新竞品中位价 ¥37，主流带 ¥27–56，薄利走量，需控运损；竞争中等：Top30 中出现 9 个不同品牌，需要在主图和标题上做出差异；售后偏高：属电器/易损品类，需提前说明退换规则，建议保留开箱视频；⚠️ 合规强监管：非卖品配件/包装物，无独立售卖价值，资质/标签/宣称任一不合规即触发下架或扣分；🔥 自有品牌已在此品类跑通：Top30 竞品中有 5 条是康佳/奥克斯/夏新等自有品牌（占 17%），买家已有认知与搜索基础，上架即有流量基础，试错成本最低；新手友好：商品好描述、体积小发货轻、决策快，适合铺量上架</t>
        </is>
      </c>
      <c r="W8" s="32" t="inlineStr">
        <is>
          <t>不建议投入：合规/售后/需求三重风险，优先出库存或转做搭售赠品</t>
        </is>
      </c>
    </row>
    <row r="9" ht="58" customHeight="1">
      <c r="A9" s="25" t="n">
        <v>7</v>
      </c>
      <c r="B9" s="26" t="inlineStr">
        <is>
          <t>手动刮胡刀</t>
        </is>
      </c>
      <c r="C9" s="33" t="inlineStr">
        <is>
          <t>A</t>
        </is>
      </c>
      <c r="D9" s="28" t="n">
        <v>6.82</v>
      </c>
      <c r="E9" s="29" t="n">
        <v>29</v>
      </c>
      <c r="F9" s="29" t="n">
        <v>24</v>
      </c>
      <c r="G9" s="25" t="inlineStr">
        <is>
          <t>¥20–29</t>
        </is>
      </c>
      <c r="H9" s="29" t="n">
        <v>9</v>
      </c>
      <c r="I9" s="29" t="n">
        <v>9</v>
      </c>
      <c r="J9" s="29" t="n">
        <v>35</v>
      </c>
      <c r="K9" s="25" t="n">
        <v>8</v>
      </c>
      <c r="L9" s="25" t="n">
        <v>30</v>
      </c>
      <c r="M9" s="30" t="n">
        <v>0.67</v>
      </c>
      <c r="N9" s="31" t="n">
        <v>4.7</v>
      </c>
      <c r="O9" s="31" t="n">
        <v>6.8</v>
      </c>
      <c r="P9" s="31" t="n">
        <v>6.4</v>
      </c>
      <c r="Q9" s="31" t="n">
        <v>7</v>
      </c>
      <c r="R9" s="31" t="n">
        <v>10</v>
      </c>
      <c r="S9" s="31" t="n">
        <v>9</v>
      </c>
      <c r="T9" s="31" t="n">
        <v>9</v>
      </c>
      <c r="U9" s="26">
        <f>COUNTIF(SKU明细!D3:D607,B9)</f>
        <v>1.0</v>
      </c>
      <c r="V9" s="32" t="inlineStr">
        <is>
          <t>需求端表现突出：Top30 在售商品的「想要」人数中位数达 8，合计 4279 人次，说明该品类在闲鱼有稳定的自然搜索承接力；价格中等：全新竞品中位价 ¥29，主流带 ¥9–35，薄利走量，需控运损；竞争中等：Top30 中出现 0 个不同品牌，需要在主图和标题上做出差异；售后可控：常规小家电，做好成色描述与功能实测视频即可；⚠️ 合规强监管：属强资质敏感品类，资质/标签/宣称任一不合规即触发下架或扣分；耗材属性强：可与主机绑定做「主品+耗材」复购套餐，锁定回头客；该品类样本中未见自有品牌在售，属空白位——无内卷，但也需教育市场成本；新手友好：商品好描述、体积小发货轻、决策快，适合铺量上架</t>
        </is>
      </c>
      <c r="W9" s="32" t="inlineStr">
        <is>
          <t>重点铺货，建议配 3-5 个颜色SKU组套出图；可做「主推+搭售」组合</t>
        </is>
      </c>
    </row>
    <row r="10" ht="58" customHeight="1">
      <c r="A10" s="25" t="n">
        <v>8</v>
      </c>
      <c r="B10" s="26" t="inlineStr">
        <is>
          <t>机油</t>
        </is>
      </c>
      <c r="C10" s="33" t="inlineStr">
        <is>
          <t>A</t>
        </is>
      </c>
      <c r="D10" s="28" t="n">
        <v>6.8</v>
      </c>
      <c r="E10" s="29" t="n">
        <v>60</v>
      </c>
      <c r="F10" s="29" t="n">
        <v>28</v>
      </c>
      <c r="G10" s="25" t="inlineStr">
        <is>
          <t>¥17–40</t>
        </is>
      </c>
      <c r="H10" s="29" t="n">
        <v>16</v>
      </c>
      <c r="I10" s="29" t="n">
        <v>25</v>
      </c>
      <c r="J10" s="29" t="n">
        <v>65</v>
      </c>
      <c r="K10" s="25" t="n">
        <v>20</v>
      </c>
      <c r="L10" s="25" t="n">
        <v>30</v>
      </c>
      <c r="M10" s="30" t="n">
        <v>0.6</v>
      </c>
      <c r="N10" s="31" t="n">
        <v>5.3</v>
      </c>
      <c r="O10" s="31" t="n">
        <v>7.4</v>
      </c>
      <c r="P10" s="31" t="n">
        <v>6.7</v>
      </c>
      <c r="Q10" s="31" t="n">
        <v>7</v>
      </c>
      <c r="R10" s="31" t="n">
        <v>10</v>
      </c>
      <c r="S10" s="31" t="n">
        <v>8</v>
      </c>
      <c r="T10" s="31" t="n">
        <v>8</v>
      </c>
      <c r="U10" s="26">
        <f>COUNTIF(SKU明细!D3:D607,B10)</f>
        <v>0.0</v>
      </c>
      <c r="V10" s="32" t="inlineStr">
        <is>
          <t>需求端表现突出：Top30 在售商品的「想要」人数中位数达 20，合计 1221 人次，说明该品类在闲鱼有稳定的自然搜索承接力；单件利润空间可观：全新竞品中位价 ¥60，P25–P75 主流带 ¥25–65，有腾挪定价空间；竞争中等：Top30 中出现 0 个不同品牌，需要在主图和标题上做出差异；售后可控：常规小家电，做好成色描述与功能实测视频即可；⚠️ 合规强监管：属强资质敏感品类，资质/标签/宣称任一不合规即触发下架或扣分；耗材属性强：可与主机绑定做「主品+耗材」复购套餐，锁定回头客；该品类样本中未见自有品牌在售，属空白位——无内卷，但也需教育市场成本；新手友好：商品好描述、体积小发货轻、决策快，适合铺量上架</t>
        </is>
      </c>
      <c r="W10" s="32" t="inlineStr">
        <is>
          <t>重点铺货，建议配 3-5 个颜色SKU组套出图；可做「主推+搭售」组合</t>
        </is>
      </c>
    </row>
    <row r="11" ht="58" customHeight="1">
      <c r="A11" s="25" t="n">
        <v>9</v>
      </c>
      <c r="B11" s="26" t="inlineStr">
        <is>
          <t>迷你清洗杯</t>
        </is>
      </c>
      <c r="C11" s="33" t="inlineStr">
        <is>
          <t>A</t>
        </is>
      </c>
      <c r="D11" s="28" t="n">
        <v>6.8</v>
      </c>
      <c r="E11" s="29" t="n">
        <v>3</v>
      </c>
      <c r="F11" s="29" t="n">
        <v>2</v>
      </c>
      <c r="G11" s="25" t="inlineStr">
        <is>
          <t>¥2–3</t>
        </is>
      </c>
      <c r="H11" s="29" t="n">
        <v>2</v>
      </c>
      <c r="I11" s="29" t="n">
        <v>2</v>
      </c>
      <c r="J11" s="29" t="n">
        <v>4</v>
      </c>
      <c r="K11" s="25" t="n">
        <v>78</v>
      </c>
      <c r="L11" s="25" t="n">
        <v>30</v>
      </c>
      <c r="M11" s="30" t="n">
        <v>0.33</v>
      </c>
      <c r="N11" s="31" t="n">
        <v>8.5</v>
      </c>
      <c r="O11" s="31" t="n">
        <v>2.8</v>
      </c>
      <c r="P11" s="31" t="n">
        <v>6.3</v>
      </c>
      <c r="Q11" s="31" t="n">
        <v>7</v>
      </c>
      <c r="R11" s="31" t="n">
        <v>10</v>
      </c>
      <c r="S11" s="31" t="n">
        <v>10</v>
      </c>
      <c r="T11" s="31" t="n">
        <v>8</v>
      </c>
      <c r="U11" s="26">
        <f>COUNTIF(SKU明细!D3:D607,B11)</f>
        <v>1.0</v>
      </c>
      <c r="V11" s="32" t="inlineStr">
        <is>
          <t>需求端表现突出：Top30 在售商品的「想要」人数中位数达 78，合计 8912 人次，说明该品类在闲鱼有稳定的自然搜索承接力；客单偏低：全新竞品中位价 ¥3，单件利润薄，必须靠走量或组合装摊薄运费；竞争中等：Top30 中出现 1 个不同品牌，需要在主图和标题上做出差异；售后可控：常规小家电，做好成色描述与功能实测视频即可；⚠️ 合规强监管：属强资质敏感品类，资质/标签/宣称任一不合规即触发下架或扣分；耗材属性强：可与主机绑定做「主品+耗材」复购套餐，锁定回头客；该品类样本中未见自有品牌在售，属空白位——无内卷，但也需教育市场成本；新手友好：商品好描述、体积小发货轻、决策快，适合铺量上架</t>
        </is>
      </c>
      <c r="W11" s="32" t="inlineStr">
        <is>
          <t>重点铺货，建议配 3-5 个颜色SKU组套出图；可做「主推+搭售」组合</t>
        </is>
      </c>
    </row>
    <row r="12" ht="58" customHeight="1">
      <c r="A12" s="25" t="n">
        <v>10</v>
      </c>
      <c r="B12" s="26" t="inlineStr">
        <is>
          <t>小气泡美容仪</t>
        </is>
      </c>
      <c r="C12" s="33" t="inlineStr">
        <is>
          <t>A</t>
        </is>
      </c>
      <c r="D12" s="28" t="n">
        <v>6.79</v>
      </c>
      <c r="E12" s="29" t="n">
        <v>139</v>
      </c>
      <c r="F12" s="29" t="n">
        <v>122</v>
      </c>
      <c r="G12" s="25" t="inlineStr">
        <is>
          <t>¥105–139</t>
        </is>
      </c>
      <c r="H12" s="29" t="n">
        <v>93</v>
      </c>
      <c r="I12" s="29" t="n">
        <v>105</v>
      </c>
      <c r="J12" s="29" t="n">
        <v>150</v>
      </c>
      <c r="K12" s="25" t="n">
        <v>14</v>
      </c>
      <c r="L12" s="25" t="n">
        <v>30</v>
      </c>
      <c r="M12" s="30" t="n">
        <v>0</v>
      </c>
      <c r="N12" s="31" t="n">
        <v>5.5</v>
      </c>
      <c r="O12" s="31" t="n">
        <v>9.9</v>
      </c>
      <c r="P12" s="31" t="n">
        <v>6.6</v>
      </c>
      <c r="Q12" s="31" t="n">
        <v>4</v>
      </c>
      <c r="R12" s="31" t="n">
        <v>4</v>
      </c>
      <c r="S12" s="31" t="n">
        <v>7</v>
      </c>
      <c r="T12" s="31" t="n">
        <v>5</v>
      </c>
      <c r="U12" s="26">
        <f>COUNTIF(SKU明细!D3:D607,B12)</f>
        <v>2.0</v>
      </c>
      <c r="V12" s="32" t="inlineStr">
        <is>
          <t>需求端表现突出：Top30 在售商品的「想要」人数中位数达 14，合计 736 人次，说明该品类在闲鱼有稳定的自然搜索承接力；单件利润空间可观：全量竞品中位价 ¥139，P25–P75 主流带 ¥105–150，有腾挪定价空间；竞争中等：Top30 中出现 1 个不同品牌，需要在主图和标题上做出差异；售后风险极低：非电器或耗材形态，基本无充电/质保/退货纠纷；宣称需克制：文案避免「治疗/根治/祛斑」等医疗功效词，用「清洁/护理/辅助」表述；有一定复购：刀头/磨头/袋装等配套件可带动二次成交；自有品牌在该品类已有零星在售（2 条，占 7%），说明存在成交但尚未形成压倒性优势，适合抢占头部位置</t>
        </is>
      </c>
      <c r="W12" s="32" t="inlineStr">
        <is>
          <t>重点铺货，建议配 3-5 个颜色SKU组套出图；可做「主推+搭售」组合</t>
        </is>
      </c>
    </row>
    <row r="13" ht="58" customHeight="1">
      <c r="A13" s="25" t="n">
        <v>11</v>
      </c>
      <c r="B13" s="26" t="inlineStr">
        <is>
          <t>防晒口罩</t>
        </is>
      </c>
      <c r="C13" s="33" t="inlineStr">
        <is>
          <t>A</t>
        </is>
      </c>
      <c r="D13" s="28" t="n">
        <v>6.77</v>
      </c>
      <c r="E13" s="29" t="n">
        <v>16</v>
      </c>
      <c r="F13" s="29" t="n">
        <v>14</v>
      </c>
      <c r="G13" s="25" t="inlineStr">
        <is>
          <t>¥13–14</t>
        </is>
      </c>
      <c r="H13" s="29" t="n">
        <v>8</v>
      </c>
      <c r="I13" s="29" t="n">
        <v>13</v>
      </c>
      <c r="J13" s="29" t="n">
        <v>19</v>
      </c>
      <c r="K13" s="25" t="n">
        <v>104.5</v>
      </c>
      <c r="L13" s="25" t="n">
        <v>30</v>
      </c>
      <c r="M13" s="30" t="n">
        <v>0.87</v>
      </c>
      <c r="N13" s="31" t="n">
        <v>9</v>
      </c>
      <c r="O13" s="31" t="n">
        <v>5.4</v>
      </c>
      <c r="P13" s="31" t="n">
        <v>6.2</v>
      </c>
      <c r="Q13" s="31" t="n">
        <v>5</v>
      </c>
      <c r="R13" s="31" t="n">
        <v>5</v>
      </c>
      <c r="S13" s="31" t="n">
        <v>9</v>
      </c>
      <c r="T13" s="31" t="n">
        <v>7</v>
      </c>
      <c r="U13" s="26">
        <f>COUNTIF(SKU明细!D3:D607,B13)</f>
        <v>9.0</v>
      </c>
      <c r="V13" s="32" t="inlineStr">
        <is>
          <t>需求端表现突出：Top30 在售商品的「想要」人数中位数达 104，合计 11322 人次，说明该品类在闲鱼有稳定的自然搜索承接力；价格中等：全新竞品中位价 ¥16，主流带 ¥13–19，薄利走量，需控运损；竞争中等：Top30 中出现 1 个不同品牌，需要在主图和标题上做出差异；售后可控：常规小家电，做好成色描述与功能实测视频即可；宣称需克制：文案避免「治疗/根治/祛斑」等医疗功效词，用「清洁/护理/辅助」表述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13" s="32" t="inlineStr">
        <is>
          <t>重点铺货，建议配 3-5 个颜色SKU组套出图；可做「主推+搭售」组合</t>
        </is>
      </c>
    </row>
    <row r="14" ht="58" customHeight="1">
      <c r="A14" s="25" t="n">
        <v>12</v>
      </c>
      <c r="B14" s="26" t="inlineStr">
        <is>
          <t>电动修眉刀</t>
        </is>
      </c>
      <c r="C14" s="33" t="inlineStr">
        <is>
          <t>A</t>
        </is>
      </c>
      <c r="D14" s="28" t="n">
        <v>6.69</v>
      </c>
      <c r="E14" s="29" t="n">
        <v>19</v>
      </c>
      <c r="F14" s="29" t="n">
        <v>12</v>
      </c>
      <c r="G14" s="25" t="inlineStr">
        <is>
          <t>¥12–13</t>
        </is>
      </c>
      <c r="H14" s="29" t="n">
        <v>10</v>
      </c>
      <c r="I14" s="29" t="n">
        <v>17</v>
      </c>
      <c r="J14" s="29" t="n">
        <v>58</v>
      </c>
      <c r="K14" s="25" t="n">
        <v>31</v>
      </c>
      <c r="L14" s="25" t="n">
        <v>30</v>
      </c>
      <c r="M14" s="30" t="n">
        <v>0.43</v>
      </c>
      <c r="N14" s="31" t="n">
        <v>6.1</v>
      </c>
      <c r="O14" s="31" t="n">
        <v>5.3</v>
      </c>
      <c r="P14" s="31" t="n">
        <v>6.8</v>
      </c>
      <c r="Q14" s="31" t="n">
        <v>3</v>
      </c>
      <c r="R14" s="31" t="n">
        <v>10</v>
      </c>
      <c r="S14" s="31" t="n">
        <v>9</v>
      </c>
      <c r="T14" s="31" t="n">
        <v>5</v>
      </c>
      <c r="U14" s="26">
        <f>COUNTIF(SKU明细!D3:D607,B14)</f>
        <v>2.0</v>
      </c>
      <c r="V14" s="32" t="inlineStr">
        <is>
          <t>需求端表现突出：Top30 在售商品的「想要」人数中位数达 31，合计 578 人次，说明该品类在闲鱼有稳定的自然搜索承接力；价格中等：全新竞品中位价 ¥19，主流带 ¥17–58，薄利走量，需控运损；竞争中等：Top30 中出现 3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合规强监管：属强资质敏感品类，资质/标签/宣称任一不合规即触发下架或扣分；有一定复购：刀头/磨头/袋装等配套件可带动二次成交；🔥 自有品牌已在此品类跑通：Top30 竞品中有 9 条是康佳/奥克斯/夏新等自有品牌（占 30%），买家已有认知与搜索基础，上架即有流量基础，试错成本最低；新手友好：商品好描述、体积小发货轻、决策快，适合铺量上架</t>
        </is>
      </c>
      <c r="W14" s="32" t="inlineStr">
        <is>
          <t>重点铺货，建议配 3-5 个颜色SKU组套出图；可做「主推+搭售」组合</t>
        </is>
      </c>
    </row>
    <row r="15" ht="58" customHeight="1">
      <c r="A15" s="25" t="n">
        <v>13</v>
      </c>
      <c r="B15" s="26" t="inlineStr">
        <is>
          <t>超声波清洗机</t>
        </is>
      </c>
      <c r="C15" s="33" t="inlineStr">
        <is>
          <t>A</t>
        </is>
      </c>
      <c r="D15" s="28" t="n">
        <v>6.69</v>
      </c>
      <c r="E15" s="29" t="n">
        <v>59</v>
      </c>
      <c r="F15" s="29" t="n">
        <v>50</v>
      </c>
      <c r="G15" s="25" t="inlineStr">
        <is>
          <t>¥40–59</t>
        </is>
      </c>
      <c r="H15" s="29" t="n">
        <v>18</v>
      </c>
      <c r="I15" s="29" t="n">
        <v>41</v>
      </c>
      <c r="J15" s="29" t="n">
        <v>90</v>
      </c>
      <c r="K15" s="25" t="n">
        <v>12</v>
      </c>
      <c r="L15" s="25" t="n">
        <v>30</v>
      </c>
      <c r="M15" s="30" t="n">
        <v>0.4</v>
      </c>
      <c r="N15" s="31" t="n">
        <v>4.5</v>
      </c>
      <c r="O15" s="31" t="n">
        <v>8.199999999999999</v>
      </c>
      <c r="P15" s="31" t="n">
        <v>6.8</v>
      </c>
      <c r="Q15" s="31" t="n">
        <v>4</v>
      </c>
      <c r="R15" s="31" t="n">
        <v>8</v>
      </c>
      <c r="S15" s="31" t="n">
        <v>8</v>
      </c>
      <c r="T15" s="31" t="n">
        <v>7</v>
      </c>
      <c r="U15" s="26">
        <f>COUNTIF(SKU明细!D3:D607,B15)</f>
        <v>1.0</v>
      </c>
      <c r="V15" s="32" t="inlineStr">
        <is>
          <t>需求端表现突出：Top30 在售商品的「想要」人数中位数达 12，合计 8476 人次，说明该品类在闲鱼有稳定的自然搜索承接力；单件利润空间可观：全新竞品中位价 ¥59，P25–P75 主流带 ¥41–90，有腾挪定价空间；竞争中等：Top30 中出现 4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合规强监管：属强资质敏感品类，资质/标签/宣称任一不合规即触发下架或扣分；有一定复购：刀头/磨头/袋装等配套件可带动二次成交；新手友好：商品好描述、体积小发货轻、决策快，适合铺量上架</t>
        </is>
      </c>
      <c r="W15" s="32" t="inlineStr">
        <is>
          <t>重点铺货，建议配 3-5 个颜色SKU组套出图；可做「主推+搭售」组合</t>
        </is>
      </c>
    </row>
    <row r="16" ht="58" customHeight="1">
      <c r="A16" s="25" t="n">
        <v>14</v>
      </c>
      <c r="B16" s="26" t="inlineStr">
        <is>
          <t>马桶卫士</t>
        </is>
      </c>
      <c r="C16" s="33" t="inlineStr">
        <is>
          <t>A</t>
        </is>
      </c>
      <c r="D16" s="28" t="n">
        <v>6.68</v>
      </c>
      <c r="E16" s="29" t="n">
        <v>13</v>
      </c>
      <c r="F16" s="29" t="n">
        <v>12</v>
      </c>
      <c r="G16" s="25" t="inlineStr">
        <is>
          <t>¥12–13</t>
        </is>
      </c>
      <c r="H16" s="29" t="n">
        <v>7</v>
      </c>
      <c r="I16" s="29" t="n">
        <v>9</v>
      </c>
      <c r="J16" s="29" t="n">
        <v>17</v>
      </c>
      <c r="K16" s="25" t="n">
        <v>50</v>
      </c>
      <c r="L16" s="25" t="n">
        <v>30</v>
      </c>
      <c r="M16" s="30" t="n">
        <v>0.4</v>
      </c>
      <c r="N16" s="31" t="n">
        <v>7.7</v>
      </c>
      <c r="O16" s="31" t="n">
        <v>5.3</v>
      </c>
      <c r="P16" s="31" t="n">
        <v>6.4</v>
      </c>
      <c r="Q16" s="31" t="n">
        <v>6</v>
      </c>
      <c r="R16" s="31" t="n">
        <v>8</v>
      </c>
      <c r="S16" s="31" t="n">
        <v>9</v>
      </c>
      <c r="T16" s="31" t="n">
        <v>8</v>
      </c>
      <c r="U16" s="26">
        <f>COUNTIF(SKU明细!D3:D607,B16)</f>
        <v>3.0</v>
      </c>
      <c r="V16" s="32" t="inlineStr">
        <is>
          <t>需求端表现突出：Top30 在售商品的「想要」人数中位数达 50，合计 2258 人次，说明该品类在闲鱼有稳定的自然搜索承接力；价格中等：全新竞品中位价 ¥13，主流带 ¥9–17，薄利走量，需控运损；竞争中等：Top30 中出现 0 个不同品牌，需要在主图和标题上做出差异；售后可控：常规小家电，做好成色描述与功能实测视频即可；⚠️ 合规强监管：属强资质敏感品类，资质/标签/宣称任一不合规即触发下架或扣分；耗材属性强：可与主机绑定做「主品+耗材」复购套餐，锁定回头客；该品类样本中未见自有品牌在售，属空白位——无内卷，但也需教育市场成本；新手友好：商品好描述、体积小发货轻、决策快，适合铺量上架</t>
        </is>
      </c>
      <c r="W16" s="32" t="inlineStr">
        <is>
          <t>重点铺货，建议配 3-5 个颜色SKU组套出图；可做「主推+搭售」组合</t>
        </is>
      </c>
    </row>
    <row r="17" ht="58" customHeight="1">
      <c r="A17" s="25" t="n">
        <v>15</v>
      </c>
      <c r="B17" s="26" t="inlineStr">
        <is>
          <t>起泡网</t>
        </is>
      </c>
      <c r="C17" s="33" t="inlineStr">
        <is>
          <t>A</t>
        </is>
      </c>
      <c r="D17" s="28" t="n">
        <v>6.66</v>
      </c>
      <c r="E17" s="29" t="n">
        <v>9</v>
      </c>
      <c r="F17" s="29" t="n">
        <v>8</v>
      </c>
      <c r="G17" s="25" t="inlineStr">
        <is>
          <t>¥7–9</t>
        </is>
      </c>
      <c r="H17" s="29" t="n">
        <v>6</v>
      </c>
      <c r="I17" s="29" t="n">
        <v>4</v>
      </c>
      <c r="J17" s="29" t="n">
        <v>9</v>
      </c>
      <c r="K17" s="25" t="n">
        <v>20</v>
      </c>
      <c r="L17" s="25" t="n">
        <v>30</v>
      </c>
      <c r="M17" s="30" t="n">
        <v>0.47</v>
      </c>
      <c r="N17" s="31" t="n">
        <v>6.1</v>
      </c>
      <c r="O17" s="31" t="n">
        <v>4.6</v>
      </c>
      <c r="P17" s="31" t="n">
        <v>6.5</v>
      </c>
      <c r="Q17" s="31" t="n">
        <v>8</v>
      </c>
      <c r="R17" s="31" t="n">
        <v>10</v>
      </c>
      <c r="S17" s="31" t="n">
        <v>10</v>
      </c>
      <c r="T17" s="31" t="n">
        <v>9</v>
      </c>
      <c r="U17" s="26">
        <f>COUNTIF(SKU明细!D3:D607,B17)</f>
        <v>1.0</v>
      </c>
      <c r="V17" s="32" t="inlineStr">
        <is>
          <t>需求端表现突出：Top30 在售商品的「想要」人数中位数达 20，合计 960 人次，说明该品类在闲鱼有稳定的自然搜索承接力；客单偏低：全新竞品中位价 ¥9，单件利润薄，必须靠走量或组合装摊薄运费；竞争中等：Top30 中出现 0 个不同品牌，需要在主图和标题上做出差异；售后偏高：属电器/易损品类，需提前说明退换规则，建议保留开箱视频；⚠️ 合规强监管：属强资质敏感品类，资质/标签/宣称任一不合规即触发下架或扣分；耗材属性强：可与主机绑定做「主品+耗材」复购套餐，锁定回头客；该品类样本中未见自有品牌在售，属空白位——无内卷，但也需教育市场成本；新手友好：商品好描述、体积小发货轻、决策快，适合铺量上架</t>
        </is>
      </c>
      <c r="W17" s="32" t="inlineStr">
        <is>
          <t>重点铺货，建议配 3-5 个颜色SKU组套出图；可做「主推+搭售」组合</t>
        </is>
      </c>
    </row>
    <row r="18" ht="58" customHeight="1">
      <c r="A18" s="25" t="n">
        <v>16</v>
      </c>
      <c r="B18" s="26" t="inlineStr">
        <is>
          <t>挂腰风扇</t>
        </is>
      </c>
      <c r="C18" s="33" t="inlineStr">
        <is>
          <t>A</t>
        </is>
      </c>
      <c r="D18" s="28" t="n">
        <v>6.65</v>
      </c>
      <c r="E18" s="29" t="n">
        <v>49</v>
      </c>
      <c r="F18" s="29" t="n">
        <v>44</v>
      </c>
      <c r="G18" s="25" t="inlineStr">
        <is>
          <t>¥38–49</t>
        </is>
      </c>
      <c r="H18" s="29" t="n">
        <v>36</v>
      </c>
      <c r="I18" s="29" t="n">
        <v>38</v>
      </c>
      <c r="J18" s="29" t="n">
        <v>65</v>
      </c>
      <c r="K18" s="25" t="n">
        <v>16</v>
      </c>
      <c r="L18" s="25" t="n">
        <v>30</v>
      </c>
      <c r="M18" s="30" t="n">
        <v>0.47</v>
      </c>
      <c r="N18" s="31" t="n">
        <v>5.8</v>
      </c>
      <c r="O18" s="31" t="n">
        <v>7.8</v>
      </c>
      <c r="P18" s="31" t="n">
        <v>6.4</v>
      </c>
      <c r="Q18" s="31" t="n">
        <v>4</v>
      </c>
      <c r="R18" s="31" t="n">
        <v>10</v>
      </c>
      <c r="S18" s="31" t="n">
        <v>8</v>
      </c>
      <c r="T18" s="31" t="n">
        <v>3</v>
      </c>
      <c r="U18" s="26">
        <f>COUNTIF(SKU明细!D3:D607,B18)</f>
        <v>3.0</v>
      </c>
      <c r="V18" s="32" t="inlineStr">
        <is>
          <t>需求端表现突出：Top30 在售商品的「想要」人数中位数达 16，合计 2412 人次，说明该品类在闲鱼有稳定的自然搜索承接力；单件利润空间可观：全新竞品中位价 ¥49，P25–P75 主流带 ¥38–65，有腾挪定价空间；竞争中等：Top30 中出现 1 个不同品牌，需要在主图和标题上做出差异；售后风险极低：非电器或耗材形态，基本无充电/质保/退货纠纷；⚠️ 合规强监管：属强资质敏感品类，资质/标签/宣称任一不合规即触发下架或扣分；自有品牌在该品类已有零星在售（2 条，占 7%），说明存在成交但尚未形成压倒性优势，适合抢占头部位置；新手友好：商品好描述、体积小发货轻、决策快，适合铺量上架</t>
        </is>
      </c>
      <c r="W18" s="32" t="inlineStr">
        <is>
          <t>重点铺货，建议配 3-5 个颜色SKU组套出图；可做「主推+搭售」组合</t>
        </is>
      </c>
    </row>
    <row r="19" ht="58" customHeight="1">
      <c r="A19" s="25" t="n">
        <v>17</v>
      </c>
      <c r="B19" s="26" t="inlineStr">
        <is>
          <t>循环扇</t>
        </is>
      </c>
      <c r="C19" s="33" t="inlineStr">
        <is>
          <t>A</t>
        </is>
      </c>
      <c r="D19" s="28" t="n">
        <v>6.63</v>
      </c>
      <c r="E19" s="29" t="n">
        <v>24</v>
      </c>
      <c r="F19" s="29" t="n">
        <v>22</v>
      </c>
      <c r="G19" s="25" t="inlineStr">
        <is>
          <t>¥21–24</t>
        </is>
      </c>
      <c r="H19" s="29" t="n">
        <v>18</v>
      </c>
      <c r="I19" s="29" t="n">
        <v>21</v>
      </c>
      <c r="J19" s="29" t="n">
        <v>25</v>
      </c>
      <c r="K19" s="25" t="n">
        <v>76.5</v>
      </c>
      <c r="L19" s="25" t="n">
        <v>30</v>
      </c>
      <c r="M19" s="30" t="n">
        <v>0.87</v>
      </c>
      <c r="N19" s="31" t="n">
        <v>8.4</v>
      </c>
      <c r="O19" s="31" t="n">
        <v>6.4</v>
      </c>
      <c r="P19" s="31" t="n">
        <v>6.4</v>
      </c>
      <c r="Q19" s="31" t="n">
        <v>2</v>
      </c>
      <c r="R19" s="31" t="n">
        <v>9</v>
      </c>
      <c r="S19" s="31" t="n">
        <v>7</v>
      </c>
      <c r="T19" s="31" t="n">
        <v>4</v>
      </c>
      <c r="U19" s="26">
        <f>COUNTIF(SKU明细!D3:D607,B19)</f>
        <v>2.0</v>
      </c>
      <c r="V19" s="32" t="inlineStr">
        <is>
          <t>需求端表现突出：Top30 在售商品的「想要」人数中位数达 76，合计 24235 人次，说明该品类在闲鱼有稳定的自然搜索承接力；价格中等：全新竞品中位价 ¥24，主流带 ¥21–25，薄利走量，需控运损；竞争中等：Top30 中出现 1 个不同品牌，需要在主图和标题上做出差异；售后风险极低：非电器或耗材形态，基本无充电/质保/退货纠纷；⚠️ 合规强监管：属强资质敏感品类，资质/标签/宣称任一不合规即触发下架或扣分；该品类样本中未见自有品牌在售，属空白位——无内卷，但也需教育市场成本</t>
        </is>
      </c>
      <c r="W19" s="32" t="inlineStr">
        <is>
          <t>重点铺货，建议配 3-5 个颜色SKU组套出图；可做「主推+搭售」组合</t>
        </is>
      </c>
    </row>
    <row r="20" ht="58" customHeight="1">
      <c r="A20" s="25" t="n">
        <v>18</v>
      </c>
      <c r="B20" s="26" t="inlineStr">
        <is>
          <t>自动卷发器</t>
        </is>
      </c>
      <c r="C20" s="33" t="inlineStr">
        <is>
          <t>A</t>
        </is>
      </c>
      <c r="D20" s="28" t="n">
        <v>6.63</v>
      </c>
      <c r="E20" s="29" t="n">
        <v>30</v>
      </c>
      <c r="F20" s="29" t="n">
        <v>25</v>
      </c>
      <c r="G20" s="25" t="inlineStr">
        <is>
          <t>¥20–30</t>
        </is>
      </c>
      <c r="H20" s="29" t="n">
        <v>18</v>
      </c>
      <c r="I20" s="29" t="n">
        <v>23</v>
      </c>
      <c r="J20" s="29" t="n">
        <v>35</v>
      </c>
      <c r="K20" s="25" t="n">
        <v>59</v>
      </c>
      <c r="L20" s="25" t="n">
        <v>30</v>
      </c>
      <c r="M20" s="30" t="n">
        <v>0.57</v>
      </c>
      <c r="N20" s="31" t="n">
        <v>7.2</v>
      </c>
      <c r="O20" s="31" t="n">
        <v>6.9</v>
      </c>
      <c r="P20" s="31" t="n">
        <v>6.9</v>
      </c>
      <c r="Q20" s="31" t="n">
        <v>1</v>
      </c>
      <c r="R20" s="31" t="n">
        <v>9</v>
      </c>
      <c r="S20" s="31" t="n">
        <v>7</v>
      </c>
      <c r="T20" s="31" t="n">
        <v>5</v>
      </c>
      <c r="U20" s="26">
        <f>COUNTIF(SKU明细!D3:D607,B20)</f>
        <v>7.0</v>
      </c>
      <c r="V20" s="32" t="inlineStr">
        <is>
          <t>需求端表现突出：Top30 在售商品的「想要」人数中位数达 59，合计 4533 人次，说明该品类在闲鱼有稳定的自然搜索承接力；价格中等：全新竞品中位价 ¥30，主流带 ¥23–35，薄利走量，需控运损；竞争中等：Top30 中出现 2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合规强监管：属强资质敏感品类，资质/标签/宣称任一不合规即触发下架或扣分；有一定复购：刀头/磨头/袋装等配套件可带动二次成交；自有品牌在该品类已有零星在售（2 条，占 7%），说明存在成交但尚未形成压倒性优势，适合抢占头部位置</t>
        </is>
      </c>
      <c r="W20" s="32" t="inlineStr">
        <is>
          <t>重点铺货，建议配 3-5 个颜色SKU组套出图；可做「主推+搭售」组合</t>
        </is>
      </c>
    </row>
    <row r="21" ht="58" customHeight="1">
      <c r="A21" s="25" t="n">
        <v>19</v>
      </c>
      <c r="B21" s="26" t="inlineStr">
        <is>
          <t>破壁料理机</t>
        </is>
      </c>
      <c r="C21" s="35" t="inlineStr">
        <is>
          <t>B</t>
        </is>
      </c>
      <c r="D21" s="28" t="n">
        <v>6.6</v>
      </c>
      <c r="E21" s="29" t="n">
        <v>59</v>
      </c>
      <c r="F21" s="29" t="n">
        <v>38</v>
      </c>
      <c r="G21" s="25" t="inlineStr">
        <is>
          <t>¥38–39</t>
        </is>
      </c>
      <c r="H21" s="29" t="n">
        <v>36</v>
      </c>
      <c r="I21" s="29" t="n">
        <v>44</v>
      </c>
      <c r="J21" s="29" t="n">
        <v>69</v>
      </c>
      <c r="K21" s="25" t="n">
        <v>14</v>
      </c>
      <c r="L21" s="25" t="n">
        <v>30</v>
      </c>
      <c r="M21" s="30" t="n">
        <v>0.33</v>
      </c>
      <c r="N21" s="31" t="n">
        <v>5.5</v>
      </c>
      <c r="O21" s="31" t="n">
        <v>8.1</v>
      </c>
      <c r="P21" s="31" t="n">
        <v>6.6</v>
      </c>
      <c r="Q21" s="31" t="n">
        <v>1</v>
      </c>
      <c r="R21" s="31" t="n">
        <v>9</v>
      </c>
      <c r="S21" s="31" t="n">
        <v>5</v>
      </c>
      <c r="T21" s="31" t="n">
        <v>5</v>
      </c>
      <c r="U21" s="26">
        <f>COUNTIF(SKU明细!D3:D607,B21)</f>
        <v>2.0</v>
      </c>
      <c r="V21" s="32" t="inlineStr">
        <is>
          <t>需求中等：「想要」人数中位数 14、有想要标签的在售占比 16/30，属于有搜索但竞争平缓的常规位；单件利润空间可观：全新竞品中位价 ¥59，P25–P75 主流带 ¥44–69，有腾挪定价空间；竞争中等：Top30 中出现 6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合规强监管：属强资质敏感品类，资质/标签/宣称任一不合规即触发下架或扣分；有一定复购：刀头/磨头/袋装等配套件可带动二次成交；🔥 自有品牌已在此品类跑通：Top30 竞品中有 5 条是康佳/奥克斯/夏新等自有品牌（占 17%），买家已有认知与搜索基础，上架即有流量基础，试错成本最低；新手门槛偏高：需讲清参数/尺寸/安装或操作说明，图文投入要足</t>
        </is>
      </c>
      <c r="W21" s="32" t="inlineStr">
        <is>
          <t>常规备选，放在长尾分类；用低价冲量，不单独投流</t>
        </is>
      </c>
    </row>
    <row r="22" ht="58" customHeight="1">
      <c r="A22" s="25" t="n">
        <v>20</v>
      </c>
      <c r="B22" s="26" t="inlineStr">
        <is>
          <t>除螨皂</t>
        </is>
      </c>
      <c r="C22" s="35" t="inlineStr">
        <is>
          <t>B</t>
        </is>
      </c>
      <c r="D22" s="28" t="n">
        <v>6.59</v>
      </c>
      <c r="E22" s="29" t="n">
        <v>15</v>
      </c>
      <c r="F22" s="29" t="n">
        <v>8</v>
      </c>
      <c r="G22" s="25" t="inlineStr">
        <is>
          <t>¥6–11</t>
        </is>
      </c>
      <c r="H22" s="29" t="n">
        <v>6</v>
      </c>
      <c r="I22" s="29" t="n">
        <v>9</v>
      </c>
      <c r="J22" s="29" t="n">
        <v>24</v>
      </c>
      <c r="K22" s="25" t="n">
        <v>92.5</v>
      </c>
      <c r="L22" s="25" t="n">
        <v>30</v>
      </c>
      <c r="M22" s="30" t="n">
        <v>0.47</v>
      </c>
      <c r="N22" s="31" t="n">
        <v>8.800000000000001</v>
      </c>
      <c r="O22" s="31" t="n">
        <v>5.5</v>
      </c>
      <c r="P22" s="31" t="n">
        <v>6.6</v>
      </c>
      <c r="Q22" s="31" t="n">
        <v>5</v>
      </c>
      <c r="R22" s="31" t="n">
        <v>2</v>
      </c>
      <c r="S22" s="31" t="n">
        <v>9</v>
      </c>
      <c r="T22" s="31" t="n">
        <v>9</v>
      </c>
      <c r="U22" s="26">
        <f>COUNTIF(SKU明细!D3:D607,B22)</f>
        <v>1.0</v>
      </c>
      <c r="V22" s="32" t="inlineStr">
        <is>
          <t>需求中等：「想要」人数中位数 92、有想要标签的在售占比 16/30，属于有搜索但竞争平缓的常规位；价格中等：全新竞品中位价 ¥15，主流带 ¥9–24，薄利走量，需控运损；竞争中等：Top30 中出现 1 个不同品牌，需要在主图和标题上做出差异；售后可控：常规小家电，做好成色描述与功能实测视频即可；无资质门槛：上架无特殊资质要求，标题可自由发挥；耗材属性强：可与主机绑定做「主品+耗材」复购套餐，锁定回头客；该品类样本中未见自有品牌在售，属空白位——无内卷，但也需教育市场成本；新手友好：商品好描述、体积小发货轻、决策快，适合铺量上架</t>
        </is>
      </c>
      <c r="W22" s="32" t="inlineStr">
        <is>
          <t>常规备选，放在长尾分类；用低价冲量，不单独投流</t>
        </is>
      </c>
    </row>
    <row r="23" ht="58" customHeight="1">
      <c r="A23" s="25" t="n">
        <v>21</v>
      </c>
      <c r="B23" s="26" t="inlineStr">
        <is>
          <t>修足器磨头</t>
        </is>
      </c>
      <c r="C23" s="35" t="inlineStr">
        <is>
          <t>B</t>
        </is>
      </c>
      <c r="D23" s="28" t="n">
        <v>6.54</v>
      </c>
      <c r="E23" s="29" t="n">
        <v>30</v>
      </c>
      <c r="F23" s="29" t="n">
        <v>14</v>
      </c>
      <c r="G23" s="25" t="inlineStr">
        <is>
          <t>¥10–17</t>
        </is>
      </c>
      <c r="H23" s="29" t="n">
        <v>10</v>
      </c>
      <c r="I23" s="29" t="n">
        <v>18</v>
      </c>
      <c r="J23" s="29" t="n">
        <v>43</v>
      </c>
      <c r="K23" s="25" t="n">
        <v>1</v>
      </c>
      <c r="L23" s="25" t="n">
        <v>30</v>
      </c>
      <c r="M23" s="30" t="n">
        <v>0.73</v>
      </c>
      <c r="N23" s="31" t="n">
        <v>1.2</v>
      </c>
      <c r="O23" s="31" t="n">
        <v>6.8</v>
      </c>
      <c r="P23" s="31" t="n">
        <v>6.8</v>
      </c>
      <c r="Q23" s="31" t="n">
        <v>8</v>
      </c>
      <c r="R23" s="31" t="n">
        <v>10</v>
      </c>
      <c r="S23" s="31" t="n">
        <v>10</v>
      </c>
      <c r="T23" s="31" t="n">
        <v>10</v>
      </c>
      <c r="U23" s="26">
        <f>COUNTIF(SKU明细!D3:D607,B23)</f>
        <v>6.0</v>
      </c>
      <c r="V23" s="32" t="inlineStr">
        <is>
          <t>需求中等：「想要」人数中位数 1、有想要标签的在售占比 10/30，属于有搜索但竞争平缓的常规位；价格中等：全新竞品中位价 ¥30，主流带 ¥18–43，薄利走量，需控运损；竞争中等：Top30 中出现 4 个不同品牌，需要在主图和标题上做出差异；售后偏高：属电器/易损品类，需提前说明退换规则，建议保留开箱视频；⚠️ 合规强监管：属强资质敏感品类，资质/标签/宣称任一不合规即触发下架或扣分；耗材属性强：可与主机绑定做「主品+耗材」复购套餐，锁定回头客；🔥 自有品牌已在此品类跑通：Top30 竞品中有 9 条是康佳/奥克斯/夏新等自有品牌（占 30%），买家已有认知与搜索基础，上架即有流量基础，试错成本最低；新手友好：商品好描述、体积小发货轻、决策快，适合铺量上架</t>
        </is>
      </c>
      <c r="W23" s="32" t="inlineStr">
        <is>
          <t>常规备选，放在长尾分类；用低价冲量，不单独投流</t>
        </is>
      </c>
    </row>
    <row r="24" ht="58" customHeight="1">
      <c r="A24" s="25" t="n">
        <v>22</v>
      </c>
      <c r="B24" s="26" t="inlineStr">
        <is>
          <t>车载吸尘器</t>
        </is>
      </c>
      <c r="C24" s="35" t="inlineStr">
        <is>
          <t>B</t>
        </is>
      </c>
      <c r="D24" s="28" t="n">
        <v>6.5</v>
      </c>
      <c r="E24" s="29" t="n">
        <v>39</v>
      </c>
      <c r="F24" s="29" t="n">
        <v>26</v>
      </c>
      <c r="G24" s="25" t="inlineStr">
        <is>
          <t>¥24–29</t>
        </is>
      </c>
      <c r="H24" s="29" t="n">
        <v>23</v>
      </c>
      <c r="I24" s="29" t="n">
        <v>32</v>
      </c>
      <c r="J24" s="29" t="n">
        <v>48</v>
      </c>
      <c r="K24" s="25" t="n">
        <v>18.5</v>
      </c>
      <c r="L24" s="25" t="n">
        <v>30</v>
      </c>
      <c r="M24" s="30" t="n">
        <v>0.8</v>
      </c>
      <c r="N24" s="31" t="n">
        <v>6</v>
      </c>
      <c r="O24" s="31" t="n">
        <v>7.4</v>
      </c>
      <c r="P24" s="31" t="n">
        <v>6.5</v>
      </c>
      <c r="Q24" s="31" t="n">
        <v>2</v>
      </c>
      <c r="R24" s="31" t="n">
        <v>9</v>
      </c>
      <c r="S24" s="31" t="n">
        <v>7</v>
      </c>
      <c r="T24" s="31" t="n">
        <v>5</v>
      </c>
      <c r="U24" s="26">
        <f>COUNTIF(SKU明细!D3:D607,B24)</f>
        <v>14.0</v>
      </c>
      <c r="V24" s="32" t="inlineStr">
        <is>
          <t>需求中等：「想要」人数中位数 18、有想要标签的在售占比 18/30，属于有搜索但竞争平缓的常规位；单件利润空间可观：全新竞品中位价 ¥39，P25–P75 主流带 ¥32–48，有腾挪定价空间；竞争中等：Top30 中出现 4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</t>
        </is>
      </c>
      <c r="W24" s="32" t="inlineStr">
        <is>
          <t>常规备选，放在长尾分类；用低价冲量，不单独投流</t>
        </is>
      </c>
    </row>
    <row r="25" ht="58" customHeight="1">
      <c r="A25" s="25" t="n">
        <v>23</v>
      </c>
      <c r="B25" s="26" t="inlineStr">
        <is>
          <t>采耳耳勺可视</t>
        </is>
      </c>
      <c r="C25" s="35" t="inlineStr">
        <is>
          <t>B</t>
        </is>
      </c>
      <c r="D25" s="28" t="n">
        <v>6.45</v>
      </c>
      <c r="E25" s="29" t="n">
        <v>23</v>
      </c>
      <c r="F25" s="29" t="n">
        <v>15</v>
      </c>
      <c r="G25" s="25" t="inlineStr">
        <is>
          <t>¥15–15</t>
        </is>
      </c>
      <c r="H25" s="29" t="n">
        <v>14</v>
      </c>
      <c r="I25" s="29" t="n">
        <v>15</v>
      </c>
      <c r="J25" s="29" t="n">
        <v>69</v>
      </c>
      <c r="K25" s="25" t="n">
        <v>53</v>
      </c>
      <c r="L25" s="25" t="n">
        <v>30</v>
      </c>
      <c r="M25" s="30" t="n">
        <v>0.73</v>
      </c>
      <c r="N25" s="31" t="n">
        <v>7</v>
      </c>
      <c r="O25" s="31" t="n">
        <v>6.3</v>
      </c>
      <c r="P25" s="31" t="n">
        <v>6.7</v>
      </c>
      <c r="Q25" s="31" t="n">
        <v>3</v>
      </c>
      <c r="R25" s="31" t="n">
        <v>10</v>
      </c>
      <c r="S25" s="31" t="n">
        <v>8</v>
      </c>
      <c r="T25" s="31" t="n">
        <v>3</v>
      </c>
      <c r="U25" s="26">
        <f>COUNTIF(SKU明细!D3:D607,B25)</f>
        <v>2.0</v>
      </c>
      <c r="V25" s="32" t="inlineStr">
        <is>
          <t>需求中等：「想要」人数中位数 53、有想要标签的在售占比 13/30，属于有搜索但竞争平缓的常规位；价格中等：全新竞品中位价 ¥23，主流带 ¥15–69，薄利走量，需控运损；竞争中等：Top30 中出现 1 个不同品牌，需要在主图和标题上做出差异；售后风险极低：非电器或耗材形态，基本无充电/质保/退货纠纷；⚠️ 合规强监管：属强资质敏感品类，资质/标签/宣称任一不合规即触发下架或扣分；该品类样本中未见自有品牌在售，属空白位——无内卷，但也需教育市场成本；新手友好：商品好描述、体积小发货轻、决策快，适合铺量上架</t>
        </is>
      </c>
      <c r="W25" s="32" t="inlineStr">
        <is>
          <t>常规备选，放在长尾分类；用低价冲量，不单独投流</t>
        </is>
      </c>
    </row>
    <row r="26" ht="58" customHeight="1">
      <c r="A26" s="25" t="n">
        <v>24</v>
      </c>
      <c r="B26" s="26" t="inlineStr">
        <is>
          <t>电动磨甲器</t>
        </is>
      </c>
      <c r="C26" s="35" t="inlineStr">
        <is>
          <t>B</t>
        </is>
      </c>
      <c r="D26" s="28" t="n">
        <v>6.42</v>
      </c>
      <c r="E26" s="29" t="n">
        <v>23</v>
      </c>
      <c r="F26" s="29" t="n">
        <v>14</v>
      </c>
      <c r="G26" s="25" t="inlineStr">
        <is>
          <t>¥13–16</t>
        </is>
      </c>
      <c r="H26" s="29" t="n">
        <v>12</v>
      </c>
      <c r="I26" s="29" t="n">
        <v>15</v>
      </c>
      <c r="J26" s="29" t="n">
        <v>27</v>
      </c>
      <c r="K26" s="25" t="n">
        <v>102</v>
      </c>
      <c r="L26" s="25" t="n">
        <v>60</v>
      </c>
      <c r="M26" s="30" t="n">
        <v>0.7</v>
      </c>
      <c r="N26" s="31" t="n">
        <v>8.9</v>
      </c>
      <c r="O26" s="31" t="n">
        <v>6.3</v>
      </c>
      <c r="P26" s="31" t="n">
        <v>3.6</v>
      </c>
      <c r="Q26" s="31" t="n">
        <v>2</v>
      </c>
      <c r="R26" s="31" t="n">
        <v>10</v>
      </c>
      <c r="S26" s="31" t="n">
        <v>8</v>
      </c>
      <c r="T26" s="31" t="n">
        <v>5</v>
      </c>
      <c r="U26" s="26">
        <f>COUNTIF(SKU明细!D3:D607,B26)</f>
        <v>2.0</v>
      </c>
      <c r="V26" s="32" t="inlineStr">
        <is>
          <t>需求中等：「想要」人数中位数 102、有想要标签的在售占比 19/30，属于有搜索但竞争平缓的常规位；价格中等：全新竞品中位价 ¥23，主流带 ¥15–27，薄利走量，需控运损；竞争激烈：Top30 里已挤进 0 个品牌，头部品牌已形成价格锚定，正面硬拼不划算；售后风险极低：非电器或耗材形态，基本无充电/质保/退货纠纷；⚠️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26" s="32" t="inlineStr">
        <is>
          <t>常规备选，放在长尾分类；用低价冲量，不单独投流</t>
        </is>
      </c>
    </row>
    <row r="27" ht="58" customHeight="1">
      <c r="A27" s="25" t="n">
        <v>25</v>
      </c>
      <c r="B27" s="26" t="inlineStr">
        <is>
          <t>肩颈按摩器</t>
        </is>
      </c>
      <c r="C27" s="35" t="inlineStr">
        <is>
          <t>B</t>
        </is>
      </c>
      <c r="D27" s="28" t="n">
        <v>6.42</v>
      </c>
      <c r="E27" s="29" t="n">
        <v>35</v>
      </c>
      <c r="F27" s="29" t="n">
        <v>22</v>
      </c>
      <c r="G27" s="25" t="inlineStr">
        <is>
          <t>¥17–28</t>
        </is>
      </c>
      <c r="H27" s="29" t="n">
        <v>16</v>
      </c>
      <c r="I27" s="29" t="n">
        <v>28</v>
      </c>
      <c r="J27" s="29" t="n">
        <v>51</v>
      </c>
      <c r="K27" s="25" t="n">
        <v>18</v>
      </c>
      <c r="L27" s="25" t="n">
        <v>30</v>
      </c>
      <c r="M27" s="30" t="n">
        <v>0.53</v>
      </c>
      <c r="N27" s="31" t="n">
        <v>5.2</v>
      </c>
      <c r="O27" s="31" t="n">
        <v>7.2</v>
      </c>
      <c r="P27" s="31" t="n">
        <v>6.8</v>
      </c>
      <c r="Q27" s="31" t="n">
        <v>3</v>
      </c>
      <c r="R27" s="31" t="n">
        <v>7</v>
      </c>
      <c r="S27" s="31" t="n">
        <v>7</v>
      </c>
      <c r="T27" s="31" t="n">
        <v>4</v>
      </c>
      <c r="U27" s="26">
        <f>COUNTIF(SKU明细!D3:D607,B27)</f>
        <v>10.0</v>
      </c>
      <c r="V27" s="32" t="inlineStr">
        <is>
          <t>需求中等：「想要」人数中位数 18、有想要标签的在售占比 11/30，属于有搜索但竞争平缓的常规位；单件利润空间可观：全新竞品中位价 ¥35，P25–P75 主流带 ¥28–51，有腾挪定价空间；竞争中等：Top30 中出现 2 个不同品牌，需要在主图和标题上做出差异；售后风险极低：非电器或耗材形态，基本无充电/质保/退货纠纷；⚠️ 合规强监管：属强资质敏感品类，资质/标签/宣称任一不合规即触发下架或扣分；🔥 自有品牌已在此品类跑通：Top30 竞品中有 17 条是康佳/奥克斯/夏新等自有品牌（占 57%），买家已有认知与搜索基础，上架即有流量基础，试错成本最低</t>
        </is>
      </c>
      <c r="W27" s="32" t="inlineStr">
        <is>
          <t>常规备选，放在长尾分类；用低价冲量，不单独投流</t>
        </is>
      </c>
    </row>
    <row r="28" ht="58" customHeight="1">
      <c r="A28" s="25" t="n">
        <v>26</v>
      </c>
      <c r="B28" s="26" t="inlineStr">
        <is>
          <t>烘鞋器</t>
        </is>
      </c>
      <c r="C28" s="35" t="inlineStr">
        <is>
          <t>B</t>
        </is>
      </c>
      <c r="D28" s="28" t="n">
        <v>6.41</v>
      </c>
      <c r="E28" s="29" t="n">
        <v>19</v>
      </c>
      <c r="F28" s="29" t="n">
        <v>14</v>
      </c>
      <c r="G28" s="25" t="inlineStr">
        <is>
          <t>¥11–16</t>
        </is>
      </c>
      <c r="H28" s="29" t="n">
        <v>10</v>
      </c>
      <c r="I28" s="29" t="n">
        <v>16</v>
      </c>
      <c r="J28" s="29" t="n">
        <v>28</v>
      </c>
      <c r="K28" s="25" t="n">
        <v>26</v>
      </c>
      <c r="L28" s="25" t="n">
        <v>30</v>
      </c>
      <c r="M28" s="30" t="n">
        <v>0.8</v>
      </c>
      <c r="N28" s="31" t="n">
        <v>6.6</v>
      </c>
      <c r="O28" s="31" t="n">
        <v>6</v>
      </c>
      <c r="P28" s="31" t="n">
        <v>6.6</v>
      </c>
      <c r="Q28" s="31" t="n">
        <v>2</v>
      </c>
      <c r="R28" s="31" t="n">
        <v>10</v>
      </c>
      <c r="S28" s="31" t="n">
        <v>8</v>
      </c>
      <c r="T28" s="31" t="n">
        <v>4</v>
      </c>
      <c r="U28" s="26">
        <f>COUNTIF(SKU明细!D3:D607,B28)</f>
        <v>2.0</v>
      </c>
      <c r="V28" s="32" t="inlineStr">
        <is>
          <t>需求中等：「想要」人数中位数 26、有想要标签的在售占比 15/30，属于有搜索但竞争平缓的常规位；价格中等：全新竞品中位价 ¥19，主流带 ¥16–28，薄利走量，需控运损；竞争中等：Top30 中出现 4 个不同品牌，需要在主图和标题上做出差异；售后风险极低：非电器或耗材形态，基本无充电/质保/退货纠纷；⚠️ 合规强监管：属强资质敏感品类，资质/标签/宣称任一不合规即触发下架或扣分；自有品牌在该品类已有零星在售（2 条，占 7%），说明存在成交但尚未形成压倒性优势，适合抢占头部位置；新手友好：商品好描述、体积小发货轻、决策快，适合铺量上架</t>
        </is>
      </c>
      <c r="W28" s="32" t="inlineStr">
        <is>
          <t>常规备选，放在长尾分类；用低价冲量，不单独投流</t>
        </is>
      </c>
    </row>
    <row r="29" ht="58" customHeight="1">
      <c r="A29" s="25" t="n">
        <v>27</v>
      </c>
      <c r="B29" s="26" t="inlineStr">
        <is>
          <t>咖啡豆研磨机</t>
        </is>
      </c>
      <c r="C29" s="35" t="inlineStr">
        <is>
          <t>B</t>
        </is>
      </c>
      <c r="D29" s="28" t="n">
        <v>6.37</v>
      </c>
      <c r="E29" s="29" t="n">
        <v>39</v>
      </c>
      <c r="F29" s="29" t="n">
        <v>18</v>
      </c>
      <c r="G29" s="25" t="inlineStr">
        <is>
          <t>¥14–23</t>
        </is>
      </c>
      <c r="H29" s="29" t="n">
        <v>13</v>
      </c>
      <c r="I29" s="29" t="n">
        <v>20</v>
      </c>
      <c r="J29" s="29" t="n">
        <v>60</v>
      </c>
      <c r="K29" s="25" t="n">
        <v>16.5</v>
      </c>
      <c r="L29" s="25" t="n">
        <v>30</v>
      </c>
      <c r="M29" s="30" t="n">
        <v>0.73</v>
      </c>
      <c r="N29" s="31" t="n">
        <v>5</v>
      </c>
      <c r="O29" s="31" t="n">
        <v>7.2</v>
      </c>
      <c r="P29" s="31" t="n">
        <v>6.6</v>
      </c>
      <c r="Q29" s="31" t="n">
        <v>3</v>
      </c>
      <c r="R29" s="31" t="n">
        <v>10</v>
      </c>
      <c r="S29" s="31" t="n">
        <v>8</v>
      </c>
      <c r="T29" s="31" t="n">
        <v>6</v>
      </c>
      <c r="U29" s="26">
        <f>COUNTIF(SKU明细!D3:D607,B29)</f>
        <v>1.0</v>
      </c>
      <c r="V29" s="32" t="inlineStr">
        <is>
          <t>需求中等：「想要」人数中位数 16、有想要标签的在售占比 14/30，属于有搜索但竞争平缓的常规位；单件利润空间可观：全新竞品中位价 ¥39，P25–P75 主流带 ¥20–60，有腾挪定价空间；竞争中等：Top30 中出现 4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29" s="32" t="inlineStr">
        <is>
          <t>常规备选，放在长尾分类；用低价冲量，不单独投流</t>
        </is>
      </c>
    </row>
    <row r="30" ht="58" customHeight="1">
      <c r="A30" s="25" t="n">
        <v>28</v>
      </c>
      <c r="B30" s="26" t="inlineStr">
        <is>
          <t>直发器</t>
        </is>
      </c>
      <c r="C30" s="35" t="inlineStr">
        <is>
          <t>B</t>
        </is>
      </c>
      <c r="D30" s="28" t="n">
        <v>6.37</v>
      </c>
      <c r="E30" s="29" t="n">
        <v>35</v>
      </c>
      <c r="F30" s="29" t="n">
        <v>17</v>
      </c>
      <c r="G30" s="25" t="inlineStr">
        <is>
          <t>¥15–19</t>
        </is>
      </c>
      <c r="H30" s="29" t="n">
        <v>14</v>
      </c>
      <c r="I30" s="29" t="n">
        <v>19</v>
      </c>
      <c r="J30" s="29" t="n">
        <v>49</v>
      </c>
      <c r="K30" s="25" t="n">
        <v>4</v>
      </c>
      <c r="L30" s="25" t="n">
        <v>30</v>
      </c>
      <c r="M30" s="30" t="n">
        <v>0.63</v>
      </c>
      <c r="N30" s="31" t="n">
        <v>3.6</v>
      </c>
      <c r="O30" s="31" t="n">
        <v>7.2</v>
      </c>
      <c r="P30" s="31" t="n">
        <v>6.6</v>
      </c>
      <c r="Q30" s="31" t="n">
        <v>2</v>
      </c>
      <c r="R30" s="31" t="n">
        <v>9</v>
      </c>
      <c r="S30" s="31" t="n">
        <v>8</v>
      </c>
      <c r="T30" s="31" t="n">
        <v>6</v>
      </c>
      <c r="U30" s="26">
        <f>COUNTIF(SKU明细!D3:D607,B30)</f>
        <v>8.0</v>
      </c>
      <c r="V30" s="32" t="inlineStr">
        <is>
          <t>需求中等：「想要」人数中位数 4、有想要标签的在售占比 15/30，属于有搜索但竞争平缓的常规位；单件利润空间可观：全新竞品中位价 ¥35，P25–P75 主流带 ¥19–49，有腾挪定价空间；竞争中等：Top30 中出现 4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合规强监管：属强资质敏感品类，资质/标签/宣称任一不合规即触发下架或扣分；有一定复购：刀头/磨头/袋装等配套件可带动二次成交；🔥 自有品牌已在此品类跑通：Top30 竞品中有 5 条是康佳/奥克斯/夏新等自有品牌（占 17%），买家已有认知与搜索基础，上架即有流量基础，试错成本最低；新手友好：商品好描述、体积小发货轻、决策快，适合铺量上架</t>
        </is>
      </c>
      <c r="W30" s="32" t="inlineStr">
        <is>
          <t>常规备选，放在长尾分类；用低价冲量，不单独投流</t>
        </is>
      </c>
    </row>
    <row r="31" ht="58" customHeight="1">
      <c r="A31" s="25" t="n">
        <v>29</v>
      </c>
      <c r="B31" s="26" t="inlineStr">
        <is>
          <t>美容仪</t>
        </is>
      </c>
      <c r="C31" s="35" t="inlineStr">
        <is>
          <t>B</t>
        </is>
      </c>
      <c r="D31" s="28" t="n">
        <v>6.36</v>
      </c>
      <c r="E31" s="29" t="n">
        <v>346</v>
      </c>
      <c r="F31" s="29" t="n">
        <v>289</v>
      </c>
      <c r="G31" s="25" t="inlineStr">
        <is>
          <t>¥280–298</t>
        </is>
      </c>
      <c r="H31" s="29" t="n">
        <v>266</v>
      </c>
      <c r="I31" s="29" t="n">
        <v>280</v>
      </c>
      <c r="J31" s="29" t="n">
        <v>426</v>
      </c>
      <c r="K31" s="25" t="n">
        <v>26.5</v>
      </c>
      <c r="L31" s="25" t="n">
        <v>30</v>
      </c>
      <c r="M31" s="30" t="n">
        <v>0.67</v>
      </c>
      <c r="N31" s="31" t="n">
        <v>5.8</v>
      </c>
      <c r="O31" s="31" t="n">
        <v>10</v>
      </c>
      <c r="P31" s="31" t="n">
        <v>7</v>
      </c>
      <c r="Q31" s="31" t="n">
        <v>4</v>
      </c>
      <c r="R31" s="31" t="n">
        <v>2</v>
      </c>
      <c r="S31" s="31" t="n">
        <v>6</v>
      </c>
      <c r="T31" s="31" t="n">
        <v>4</v>
      </c>
      <c r="U31" s="26">
        <f>COUNTIF(SKU明细!D3:D607,B31)</f>
        <v>7.0</v>
      </c>
      <c r="V31" s="32" t="inlineStr">
        <is>
          <t>需求中等：「想要」人数中位数 26、有想要标签的在售占比 6/30，属于有搜索但竞争平缓的常规位；单件利润空间可观：全新竞品中位价 ¥346，P25–P75 主流带 ¥280–426，有腾挪定价空间；竞争温和：在售 Top30 覆盖 1 个品牌，格局分散，新链接有出头机会；售后风险极低：非电器或耗材形态，基本无充电/质保/退货纠纷；无资质门槛：上架无特殊资质要求，标题可自由发挥；该品类样本中未见自有品牌在售，属空白位——无内卷，但也需教育市场成本</t>
        </is>
      </c>
      <c r="W31" s="32" t="inlineStr">
        <is>
          <t>常规备选，放在长尾分类；用低价冲量，不单独投流</t>
        </is>
      </c>
    </row>
    <row r="32" ht="58" customHeight="1">
      <c r="A32" s="25" t="n">
        <v>30</v>
      </c>
      <c r="B32" s="26" t="inlineStr">
        <is>
          <t>吹风机</t>
        </is>
      </c>
      <c r="C32" s="35" t="inlineStr">
        <is>
          <t>B</t>
        </is>
      </c>
      <c r="D32" s="28" t="n">
        <v>6.34</v>
      </c>
      <c r="E32" s="29" t="n">
        <v>43</v>
      </c>
      <c r="F32" s="29" t="n">
        <v>26</v>
      </c>
      <c r="G32" s="25" t="inlineStr">
        <is>
          <t>¥15–37</t>
        </is>
      </c>
      <c r="H32" s="29" t="n">
        <v>14</v>
      </c>
      <c r="I32" s="29" t="n">
        <v>35</v>
      </c>
      <c r="J32" s="29" t="n">
        <v>68</v>
      </c>
      <c r="K32" s="25" t="n">
        <v>48</v>
      </c>
      <c r="L32" s="25" t="n">
        <v>60</v>
      </c>
      <c r="M32" s="30" t="n">
        <v>0.68</v>
      </c>
      <c r="N32" s="31" t="n">
        <v>7.6</v>
      </c>
      <c r="O32" s="31" t="n">
        <v>7.5</v>
      </c>
      <c r="P32" s="31" t="n">
        <v>3.2</v>
      </c>
      <c r="Q32" s="31" t="n">
        <v>2</v>
      </c>
      <c r="R32" s="31" t="n">
        <v>9</v>
      </c>
      <c r="S32" s="31" t="n">
        <v>7</v>
      </c>
      <c r="T32" s="31" t="n">
        <v>6</v>
      </c>
      <c r="U32" s="26">
        <f>COUNTIF(SKU明细!D3:D607,B32)</f>
        <v>3.0</v>
      </c>
      <c r="V32" s="32" t="inlineStr">
        <is>
          <t>需求中等：「想要」人数中位数 48、有想要标签的在售占比 31/30，属于有搜索但竞争平缓的常规位；单件利润空间可观：全新竞品中位价 ¥43，P25–P75 主流带 ¥35–68，有腾挪定价空间；竞争激烈：Top30 里已挤进 6 个品牌，头部品牌已形成价格锚定，正面硬拼不划算；售后风险极低：非电器或耗材形态，基本无充电/质保/退货纠纷；⚠️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</t>
        </is>
      </c>
      <c r="W32" s="32" t="inlineStr">
        <is>
          <t>常规备选，放在长尾分类；用低价冲量，不单独投流</t>
        </is>
      </c>
    </row>
    <row r="33" ht="58" customHeight="1">
      <c r="A33" s="25" t="n">
        <v>31</v>
      </c>
      <c r="B33" s="26" t="inlineStr">
        <is>
          <t>冲牙器</t>
        </is>
      </c>
      <c r="C33" s="35" t="inlineStr">
        <is>
          <t>B</t>
        </is>
      </c>
      <c r="D33" s="28" t="n">
        <v>6.31</v>
      </c>
      <c r="E33" s="29" t="n">
        <v>41</v>
      </c>
      <c r="F33" s="29" t="n">
        <v>20</v>
      </c>
      <c r="G33" s="25" t="inlineStr">
        <is>
          <t>¥20–20</t>
        </is>
      </c>
      <c r="H33" s="29" t="n">
        <v>19</v>
      </c>
      <c r="I33" s="29" t="n">
        <v>25</v>
      </c>
      <c r="J33" s="29" t="n">
        <v>42</v>
      </c>
      <c r="K33" s="25" t="n">
        <v>3.5</v>
      </c>
      <c r="L33" s="25" t="n">
        <v>30</v>
      </c>
      <c r="M33" s="30" t="n">
        <v>0.47</v>
      </c>
      <c r="N33" s="31" t="n">
        <v>2.6</v>
      </c>
      <c r="O33" s="31" t="n">
        <v>7</v>
      </c>
      <c r="P33" s="31" t="n">
        <v>6.8</v>
      </c>
      <c r="Q33" s="31" t="n">
        <v>3</v>
      </c>
      <c r="R33" s="31" t="n">
        <v>10</v>
      </c>
      <c r="S33" s="31" t="n">
        <v>7</v>
      </c>
      <c r="T33" s="31" t="n">
        <v>7</v>
      </c>
      <c r="U33" s="26">
        <f>COUNTIF(SKU明细!D3:D607,B33)</f>
        <v>9.0</v>
      </c>
      <c r="V33" s="32" t="inlineStr">
        <is>
          <t>需求中等：「想要」人数中位数 4、有想要标签的在售占比 10/30，属于有搜索但竞争平缓的常规位；单件利润空间可观：全新竞品中位价 ¥41，P25–P75 主流带 ¥25–42，有腾挪定价空间；竞争中等：Top30 中出现 3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合规强监管：属强资质敏感品类，资质/标签/宣称任一不合规即触发下架或扣分；有一定复购：刀头/磨头/袋装等配套件可带动二次成交；🔥 自有品牌已在此品类跑通：Top30 竞品中有 12 条是康佳/奥克斯/夏新等自有品牌（占 40%），买家已有认知与搜索基础，上架即有流量基础，试错成本最低</t>
        </is>
      </c>
      <c r="W33" s="32" t="inlineStr">
        <is>
          <t>常规备选，放在长尾分类；用低价冲量，不单独投流</t>
        </is>
      </c>
    </row>
    <row r="34" ht="58" customHeight="1">
      <c r="A34" s="25" t="n">
        <v>32</v>
      </c>
      <c r="B34" s="26" t="inlineStr">
        <is>
          <t>多功能研磨机</t>
        </is>
      </c>
      <c r="C34" s="35" t="inlineStr">
        <is>
          <t>B</t>
        </is>
      </c>
      <c r="D34" s="28" t="n">
        <v>6.31</v>
      </c>
      <c r="E34" s="29" t="n">
        <v>25</v>
      </c>
      <c r="F34" s="29" t="n">
        <v>19</v>
      </c>
      <c r="G34" s="25" t="inlineStr">
        <is>
          <t>¥19–19</t>
        </is>
      </c>
      <c r="H34" s="29" t="n">
        <v>18</v>
      </c>
      <c r="I34" s="29" t="n">
        <v>19</v>
      </c>
      <c r="J34" s="29" t="n">
        <v>27</v>
      </c>
      <c r="K34" s="25" t="n">
        <v>18</v>
      </c>
      <c r="L34" s="25" t="n">
        <v>30</v>
      </c>
      <c r="M34" s="30" t="n">
        <v>0.77</v>
      </c>
      <c r="N34" s="31" t="n">
        <v>6</v>
      </c>
      <c r="O34" s="31" t="n">
        <v>6.5</v>
      </c>
      <c r="P34" s="31" t="n">
        <v>6.4</v>
      </c>
      <c r="Q34" s="31" t="n">
        <v>3</v>
      </c>
      <c r="R34" s="31" t="n">
        <v>10</v>
      </c>
      <c r="S34" s="31" t="n">
        <v>8</v>
      </c>
      <c r="T34" s="31" t="n">
        <v>6</v>
      </c>
      <c r="U34" s="26">
        <f>COUNTIF(SKU明细!D3:D607,B34)</f>
        <v>3.0</v>
      </c>
      <c r="V34" s="32" t="inlineStr">
        <is>
          <t>需求中等：「想要」人数中位数 18、有想要标签的在售占比 20/30，属于有搜索但竞争平缓的常规位；价格中等：全新竞品中位价 ¥25，主流带 ¥19–27，薄利走量，需控运损；竞争中等：Top30 中出现 0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34" s="32" t="inlineStr">
        <is>
          <t>常规备选，放在长尾分类；用低价冲量，不单独投流</t>
        </is>
      </c>
    </row>
    <row r="35" ht="58" customHeight="1">
      <c r="A35" s="25" t="n">
        <v>33</v>
      </c>
      <c r="B35" s="26" t="inlineStr">
        <is>
          <t>洗手液</t>
        </is>
      </c>
      <c r="C35" s="35" t="inlineStr">
        <is>
          <t>B</t>
        </is>
      </c>
      <c r="D35" s="28" t="n">
        <v>6.31</v>
      </c>
      <c r="E35" s="29" t="n">
        <v>7</v>
      </c>
      <c r="F35" s="29" t="n">
        <v>4</v>
      </c>
      <c r="G35" s="25" t="inlineStr">
        <is>
          <t>¥3–5</t>
        </is>
      </c>
      <c r="H35" s="29" t="n">
        <v>3</v>
      </c>
      <c r="I35" s="29" t="n">
        <v>6</v>
      </c>
      <c r="J35" s="29" t="n">
        <v>13</v>
      </c>
      <c r="K35" s="25" t="n">
        <v>113.5</v>
      </c>
      <c r="L35" s="25" t="n">
        <v>30</v>
      </c>
      <c r="M35" s="30" t="n">
        <v>0.6</v>
      </c>
      <c r="N35" s="31" t="n">
        <v>9.1</v>
      </c>
      <c r="O35" s="31" t="n">
        <v>4.2</v>
      </c>
      <c r="P35" s="31" t="n">
        <v>6.6</v>
      </c>
      <c r="Q35" s="31" t="n">
        <v>5</v>
      </c>
      <c r="R35" s="31" t="n">
        <v>1</v>
      </c>
      <c r="S35" s="31" t="n">
        <v>9</v>
      </c>
      <c r="T35" s="31" t="n">
        <v>9</v>
      </c>
      <c r="U35" s="26">
        <f>COUNTIF(SKU明细!D3:D607,B35)</f>
        <v>0.0</v>
      </c>
      <c r="V35" s="32" t="inlineStr">
        <is>
          <t>需求中等：「想要」人数中位数 114、有想要标签的在售占比 16/30，属于有搜索但竞争平缓的常规位；客单偏低：全新竞品中位价 ¥7，单件利润薄，必须靠走量或组合装摊薄运费；竞争中等：Top30 中出现 0 个不同品牌，需要在主图和标题上做出差异；售后可控：常规小家电，做好成色描述与功能实测视频即可；无资质门槛：上架无特殊资质要求，标题可自由发挥；耗材属性强：可与主机绑定做「主品+耗材」复购套餐，锁定回头客；该品类样本中未见自有品牌在售，属空白位——无内卷，但也需教育市场成本；新手友好：商品好描述、体积小发货轻、决策快，适合铺量上架</t>
        </is>
      </c>
      <c r="W35" s="32" t="inlineStr">
        <is>
          <t>常规备选，放在长尾分类；用低价冲量，不单独投流</t>
        </is>
      </c>
    </row>
    <row r="36" ht="58" customHeight="1">
      <c r="A36" s="25" t="n">
        <v>34</v>
      </c>
      <c r="B36" s="26" t="inlineStr">
        <is>
          <t>电动磨脚器</t>
        </is>
      </c>
      <c r="C36" s="35" t="inlineStr">
        <is>
          <t>B</t>
        </is>
      </c>
      <c r="D36" s="28" t="n">
        <v>6.31</v>
      </c>
      <c r="E36" s="29" t="n">
        <v>29</v>
      </c>
      <c r="F36" s="29" t="n">
        <v>18</v>
      </c>
      <c r="G36" s="25" t="inlineStr">
        <is>
          <t>¥12–24</t>
        </is>
      </c>
      <c r="H36" s="29" t="n">
        <v>11</v>
      </c>
      <c r="I36" s="29" t="n">
        <v>19</v>
      </c>
      <c r="J36" s="29" t="n">
        <v>36</v>
      </c>
      <c r="K36" s="25" t="n">
        <v>9.5</v>
      </c>
      <c r="L36" s="25" t="n">
        <v>30</v>
      </c>
      <c r="M36" s="30" t="n">
        <v>0.83</v>
      </c>
      <c r="N36" s="31" t="n">
        <v>4.1</v>
      </c>
      <c r="O36" s="31" t="n">
        <v>6.8</v>
      </c>
      <c r="P36" s="31" t="n">
        <v>6.6</v>
      </c>
      <c r="Q36" s="31" t="n">
        <v>2</v>
      </c>
      <c r="R36" s="31" t="n">
        <v>10</v>
      </c>
      <c r="S36" s="31" t="n">
        <v>8</v>
      </c>
      <c r="T36" s="31" t="n">
        <v>4</v>
      </c>
      <c r="U36" s="26">
        <f>COUNTIF(SKU明细!D3:D607,B36)</f>
        <v>25.0</v>
      </c>
      <c r="V36" s="32" t="inlineStr">
        <is>
          <t>需求中等：「想要」人数中位数 10、有想要标签的在售占比 14/30，属于有搜索但竞争平缓的常规位；价格中等：全新竞品中位价 ¥29，主流带 ¥19–36，薄利走量，需控运损；竞争中等：Top30 中出现 3 个不同品牌，需要在主图和标题上做出差异；售后风险极低：非电器或耗材形态，基本无充电/质保/退货纠纷；⚠️ 合规强监管：属强资质敏感品类，资质/标签/宣称任一不合规即触发下架或扣分；🔥 自有品牌已在此品类跑通：Top30 竞品中有 9 条是康佳/奥克斯/夏新等自有品牌（占 30%），买家已有认知与搜索基础，上架即有流量基础，试错成本最低；新手友好：商品好描述、体积小发货轻、决策快，适合铺量上架</t>
        </is>
      </c>
      <c r="W36" s="32" t="inlineStr">
        <is>
          <t>常规备选，放在长尾分类；用低价冲量，不单独投流</t>
        </is>
      </c>
    </row>
    <row r="37" ht="58" customHeight="1">
      <c r="A37" s="25" t="n">
        <v>35</v>
      </c>
      <c r="B37" s="26" t="inlineStr">
        <is>
          <t>鼻毛修剪器刀头</t>
        </is>
      </c>
      <c r="C37" s="35" t="inlineStr">
        <is>
          <t>B</t>
        </is>
      </c>
      <c r="D37" s="28" t="n">
        <v>6.25</v>
      </c>
      <c r="E37" s="29" t="n">
        <v>15</v>
      </c>
      <c r="F37" s="29" t="n">
        <v>4</v>
      </c>
      <c r="G37" s="25" t="inlineStr">
        <is>
          <t>¥4–5</t>
        </is>
      </c>
      <c r="H37" s="29" t="n">
        <v>4</v>
      </c>
      <c r="I37" s="29" t="n">
        <v>6</v>
      </c>
      <c r="J37" s="29" t="n">
        <v>18</v>
      </c>
      <c r="K37" s="25" t="n">
        <v>5</v>
      </c>
      <c r="L37" s="25" t="n">
        <v>30</v>
      </c>
      <c r="M37" s="30" t="n">
        <v>0.43</v>
      </c>
      <c r="N37" s="31" t="n">
        <v>3.9</v>
      </c>
      <c r="O37" s="31" t="n">
        <v>4.6</v>
      </c>
      <c r="P37" s="31" t="n">
        <v>6.4</v>
      </c>
      <c r="Q37" s="31" t="n">
        <v>8</v>
      </c>
      <c r="R37" s="31" t="n">
        <v>10</v>
      </c>
      <c r="S37" s="31" t="n">
        <v>10</v>
      </c>
      <c r="T37" s="31" t="n">
        <v>10</v>
      </c>
      <c r="U37" s="26">
        <f>COUNTIF(SKU明细!D3:D607,B37)</f>
        <v>0.0</v>
      </c>
      <c r="V37" s="32" t="inlineStr">
        <is>
          <t>需求中等：「想要」人数中位数 5、有想要标签的在售占比 19/30，属于有搜索但竞争平缓的常规位；客单偏低：全新竞品中位价 ¥15，单件利润薄，必须靠走量或组合装摊薄运费；竞争中等：Top30 中出现 5 个不同品牌，需要在主图和标题上做出差异；售后偏高：属电器/易损品类，需提前说明退换规则，建议保留开箱视频；⚠️ 合规强监管：属强资质敏感品类，资质/标签/宣称任一不合规即触发下架或扣分；耗材属性强：可与主机绑定做「主品+耗材」复购套餐，锁定回头客；该品类样本中未见自有品牌在售，属空白位——无内卷，但也需教育市场成本；新手友好：商品好描述、体积小发货轻、决策快，适合铺量上架</t>
        </is>
      </c>
      <c r="W37" s="32" t="inlineStr">
        <is>
          <t>常规备选，放在长尾分类；用低价冲量，不单独投流</t>
        </is>
      </c>
    </row>
    <row r="38" ht="58" customHeight="1">
      <c r="A38" s="25" t="n">
        <v>36</v>
      </c>
      <c r="B38" s="26" t="inlineStr">
        <is>
          <t>粘毛器</t>
        </is>
      </c>
      <c r="C38" s="35" t="inlineStr">
        <is>
          <t>B</t>
        </is>
      </c>
      <c r="D38" s="28" t="n">
        <v>6.22</v>
      </c>
      <c r="E38" s="29" t="n">
        <v>6</v>
      </c>
      <c r="F38" s="29" t="n">
        <v>4</v>
      </c>
      <c r="G38" s="25" t="inlineStr">
        <is>
          <t>¥3–4</t>
        </is>
      </c>
      <c r="H38" s="29" t="n">
        <v>3</v>
      </c>
      <c r="I38" s="29" t="n">
        <v>3</v>
      </c>
      <c r="J38" s="29" t="n">
        <v>9</v>
      </c>
      <c r="K38" s="25" t="n">
        <v>10.5</v>
      </c>
      <c r="L38" s="25" t="n">
        <v>30</v>
      </c>
      <c r="M38" s="30" t="n">
        <v>0.8</v>
      </c>
      <c r="N38" s="31" t="n">
        <v>5.1</v>
      </c>
      <c r="O38" s="31" t="n">
        <v>3.9</v>
      </c>
      <c r="P38" s="31" t="n">
        <v>6.5</v>
      </c>
      <c r="Q38" s="31" t="n">
        <v>7</v>
      </c>
      <c r="R38" s="31" t="n">
        <v>10</v>
      </c>
      <c r="S38" s="31" t="n">
        <v>10</v>
      </c>
      <c r="T38" s="31" t="n">
        <v>9</v>
      </c>
      <c r="U38" s="26">
        <f>COUNTIF(SKU明细!D3:D607,B38)</f>
        <v>0.0</v>
      </c>
      <c r="V38" s="32" t="inlineStr">
        <is>
          <t>需求中等：「想要」人数中位数 10、有想要标签的在售占比 18/30，属于有搜索但竞争平缓的常规位；客单偏低：全新竞品中位价 ¥6，单件利润薄，必须靠走量或组合装摊薄运费；竞争中等：Top30 中出现 1 个不同品牌，需要在主图和标题上做出差异；售后可控：常规小家电，做好成色描述与功能实测视频即可；⚠️ 合规强监管：属强资质敏感品类，资质/标签/宣称任一不合规即触发下架或扣分；耗材属性强：可与主机绑定做「主品+耗材」复购套餐，锁定回头客；该品类样本中未见自有品牌在售，属空白位——无内卷，但也需教育市场成本；新手友好：商品好描述、体积小发货轻、决策快，适合铺量上架</t>
        </is>
      </c>
      <c r="W38" s="32" t="inlineStr">
        <is>
          <t>常规备选，放在长尾分类；用低价冲量，不单独投流</t>
        </is>
      </c>
    </row>
    <row r="39" ht="58" customHeight="1">
      <c r="A39" s="25" t="n">
        <v>37</v>
      </c>
      <c r="B39" s="26" t="inlineStr">
        <is>
          <t>呼吸哑铃</t>
        </is>
      </c>
      <c r="C39" s="35" t="inlineStr">
        <is>
          <t>B</t>
        </is>
      </c>
      <c r="D39" s="28" t="n">
        <v>6.21</v>
      </c>
      <c r="E39" s="29" t="n">
        <v>80</v>
      </c>
      <c r="F39" s="29" t="n">
        <v>54</v>
      </c>
      <c r="G39" s="25" t="inlineStr">
        <is>
          <t>¥48–59</t>
        </is>
      </c>
      <c r="H39" s="29" t="n">
        <v>46</v>
      </c>
      <c r="I39" s="29" t="n">
        <v>59</v>
      </c>
      <c r="J39" s="29" t="n">
        <v>108</v>
      </c>
      <c r="K39" s="25" t="n">
        <v>2</v>
      </c>
      <c r="L39" s="25" t="n">
        <v>30</v>
      </c>
      <c r="M39" s="30" t="n">
        <v>0.77</v>
      </c>
      <c r="N39" s="31" t="n">
        <v>1.9</v>
      </c>
      <c r="O39" s="31" t="n">
        <v>8.800000000000001</v>
      </c>
      <c r="P39" s="31" t="n">
        <v>6.9</v>
      </c>
      <c r="Q39" s="31" t="n">
        <v>7</v>
      </c>
      <c r="R39" s="31" t="n">
        <v>10</v>
      </c>
      <c r="S39" s="31" t="n">
        <v>9</v>
      </c>
      <c r="T39" s="31" t="n">
        <v>6</v>
      </c>
      <c r="U39" s="26">
        <f>COUNTIF(SKU明细!D3:D607,B39)</f>
        <v>1.0</v>
      </c>
      <c r="V39" s="32" t="inlineStr">
        <is>
          <t>需求中等：「想要」人数中位数 2、有想要标签的在售占比 7/30，属于有搜索但竞争平缓的常规位；单件利润空间可观：全新竞品中位价 ¥80，P25–P75 主流带 ¥59–108，有腾挪定价空间；竞争中等：Top30 中出现 0 个不同品牌，需要在主图和标题上做出差异；售后可控：常规小家电，做好成色描述与功能实测视频即可；⚠️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39" s="32" t="inlineStr">
        <is>
          <t>常规备选，放在长尾分类；用低价冲量，不单独投流</t>
        </is>
      </c>
    </row>
    <row r="40" ht="58" customHeight="1">
      <c r="A40" s="25" t="n">
        <v>38</v>
      </c>
      <c r="B40" s="26" t="inlineStr">
        <is>
          <t>洗衣杯</t>
        </is>
      </c>
      <c r="C40" s="35" t="inlineStr">
        <is>
          <t>B</t>
        </is>
      </c>
      <c r="D40" s="28" t="n">
        <v>6.2</v>
      </c>
      <c r="E40" s="29" t="n">
        <v>53</v>
      </c>
      <c r="F40" s="29" t="n">
        <v>30</v>
      </c>
      <c r="G40" s="25" t="inlineStr">
        <is>
          <t>¥25–36</t>
        </is>
      </c>
      <c r="H40" s="29" t="n">
        <v>24</v>
      </c>
      <c r="I40" s="29" t="n">
        <v>39</v>
      </c>
      <c r="J40" s="29" t="n">
        <v>65</v>
      </c>
      <c r="K40" s="25" t="n">
        <v>2.5</v>
      </c>
      <c r="L40" s="25" t="n">
        <v>30</v>
      </c>
      <c r="M40" s="30" t="n">
        <v>0.5</v>
      </c>
      <c r="N40" s="31" t="n">
        <v>2.2</v>
      </c>
      <c r="O40" s="31" t="n">
        <v>8</v>
      </c>
      <c r="P40" s="31" t="n">
        <v>6.7</v>
      </c>
      <c r="Q40" s="31" t="n">
        <v>6</v>
      </c>
      <c r="R40" s="31" t="n">
        <v>10</v>
      </c>
      <c r="S40" s="31" t="n">
        <v>9</v>
      </c>
      <c r="T40" s="31" t="n">
        <v>6</v>
      </c>
      <c r="U40" s="26">
        <f>COUNTIF(SKU明细!D3:D607,B40)</f>
        <v>1.0</v>
      </c>
      <c r="V40" s="32" t="inlineStr">
        <is>
          <t>需求中等：「想要」人数中位数 2、有想要标签的在售占比 12/30，属于有搜索但竞争平缓的常规位；单件利润空间可观：全新竞品中位价 ¥53，P25–P75 主流带 ¥39–65，有腾挪定价空间；竞争中等：Top30 中出现 1 个不同品牌，需要在主图和标题上做出差异；售后可控：常规小家电，做好成色描述与功能实测视频即可；⚠️ 合规强监管：属强资质敏感品类，资质/标签/宣称任一不合规即触发下架或扣分；有一定复购：刀头/磨头/袋装等配套件可带动二次成交；自有品牌在该品类已有零星在售（2 条，占 7%），说明存在成交但尚未形成压倒性优势，适合抢占头部位置；新手友好：商品好描述、体积小发货轻、决策快，适合铺量上架</t>
        </is>
      </c>
      <c r="W40" s="32" t="inlineStr">
        <is>
          <t>常规备选，放在长尾分类；用低价冲量，不单独投流</t>
        </is>
      </c>
    </row>
    <row r="41" ht="58" customHeight="1">
      <c r="A41" s="25" t="n">
        <v>39</v>
      </c>
      <c r="B41" s="26" t="inlineStr">
        <is>
          <t>直发梳</t>
        </is>
      </c>
      <c r="C41" s="35" t="inlineStr">
        <is>
          <t>B</t>
        </is>
      </c>
      <c r="D41" s="28" t="n">
        <v>6.2</v>
      </c>
      <c r="E41" s="29" t="n">
        <v>49</v>
      </c>
      <c r="F41" s="29" t="n">
        <v>28</v>
      </c>
      <c r="G41" s="25" t="inlineStr">
        <is>
          <t>¥20–35</t>
        </is>
      </c>
      <c r="H41" s="29" t="n">
        <v>19</v>
      </c>
      <c r="I41" s="29" t="n">
        <v>35</v>
      </c>
      <c r="J41" s="29" t="n">
        <v>53</v>
      </c>
      <c r="K41" s="25" t="n">
        <v>8</v>
      </c>
      <c r="L41" s="25" t="n">
        <v>30</v>
      </c>
      <c r="M41" s="30" t="n">
        <v>0.5</v>
      </c>
      <c r="N41" s="31" t="n">
        <v>3.9</v>
      </c>
      <c r="O41" s="31" t="n">
        <v>7.8</v>
      </c>
      <c r="P41" s="31" t="n">
        <v>6.7</v>
      </c>
      <c r="Q41" s="31" t="n">
        <v>2</v>
      </c>
      <c r="R41" s="31" t="n">
        <v>9</v>
      </c>
      <c r="S41" s="31" t="n">
        <v>8</v>
      </c>
      <c r="T41" s="31" t="n">
        <v>6</v>
      </c>
      <c r="U41" s="26">
        <f>COUNTIF(SKU明细!D3:D607,B41)</f>
        <v>25.0</v>
      </c>
      <c r="V41" s="32" t="inlineStr">
        <is>
          <t>需求中等：「想要」人数中位数 8、有想要标签的在售占比 13/30，属于有搜索但竞争平缓的常规位；单件利润空间可观：全新竞品中位价 ¥49，P25–P75 主流带 ¥35–53，有腾挪定价空间；竞争中等：Top30 中出现 2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合规强监管：属强资质敏感品类，资质/标签/宣称任一不合规即触发下架或扣分；有一定复购：刀头/磨头/袋装等配套件可带动二次成交；自有品牌在该品类已有零星在售（2 条，占 7%），说明存在成交但尚未形成压倒性优势，适合抢占头部位置；新手友好：商品好描述、体积小发货轻、决策快，适合铺量上架</t>
        </is>
      </c>
      <c r="W41" s="32" t="inlineStr">
        <is>
          <t>常规备选，放在长尾分类；用低价冲量，不单独投流</t>
        </is>
      </c>
    </row>
    <row r="42" ht="58" customHeight="1">
      <c r="A42" s="25" t="n">
        <v>40</v>
      </c>
      <c r="B42" s="26" t="inlineStr">
        <is>
          <t>你比我猜训练机</t>
        </is>
      </c>
      <c r="C42" s="35" t="inlineStr">
        <is>
          <t>B</t>
        </is>
      </c>
      <c r="D42" s="28" t="n">
        <v>6.19</v>
      </c>
      <c r="E42" s="29" t="n">
        <v>16</v>
      </c>
      <c r="F42" s="29" t="n">
        <v>5</v>
      </c>
      <c r="G42" s="25" t="inlineStr">
        <is>
          <t>¥5–5</t>
        </is>
      </c>
      <c r="H42" s="29" t="n">
        <v>5</v>
      </c>
      <c r="I42" s="29" t="n">
        <v>1</v>
      </c>
      <c r="J42" s="29" t="n">
        <v>25</v>
      </c>
      <c r="K42" s="25" t="n">
        <v>10</v>
      </c>
      <c r="L42" s="25" t="n">
        <v>30</v>
      </c>
      <c r="M42" s="30" t="n">
        <v>0.37</v>
      </c>
      <c r="N42" s="31" t="n">
        <v>5</v>
      </c>
      <c r="O42" s="31" t="n">
        <v>5.7</v>
      </c>
      <c r="P42" s="31" t="n">
        <v>6.5</v>
      </c>
      <c r="Q42" s="31" t="n">
        <v>6</v>
      </c>
      <c r="R42" s="31" t="n">
        <v>10</v>
      </c>
      <c r="S42" s="31" t="n">
        <v>9</v>
      </c>
      <c r="T42" s="31" t="n">
        <v>6</v>
      </c>
      <c r="U42" s="26">
        <f>COUNTIF(SKU明细!D3:D607,B42)</f>
        <v>1.0</v>
      </c>
      <c r="V42" s="32" t="inlineStr">
        <is>
          <t>需求中等：「想要」人数中位数 10、有想要标签的在售占比 17/30，属于有搜索但竞争平缓的常规位；价格中等：全新竞品中位价 ¥16，主流带 ¥1–25，薄利走量，需控运损；竞争中等：Top30 中出现 0 个不同品牌，需要在主图和标题上做出差异；售后可控：常规小家电，做好成色描述与功能实测视频即可；⚠️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42" s="32" t="inlineStr">
        <is>
          <t>常规备选，放在长尾分类；用低价冲量，不单独投流</t>
        </is>
      </c>
    </row>
    <row r="43" ht="58" customHeight="1">
      <c r="A43" s="25" t="n">
        <v>41</v>
      </c>
      <c r="B43" s="26" t="inlineStr">
        <is>
          <t>多功能沐浴刷</t>
        </is>
      </c>
      <c r="C43" s="35" t="inlineStr">
        <is>
          <t>B</t>
        </is>
      </c>
      <c r="D43" s="28" t="n">
        <v>6.18</v>
      </c>
      <c r="E43" s="29" t="n">
        <v>78</v>
      </c>
      <c r="F43" s="29" t="n">
        <v>56</v>
      </c>
      <c r="G43" s="25" t="inlineStr">
        <is>
          <t>¥50–63</t>
        </is>
      </c>
      <c r="H43" s="29" t="n">
        <v>48</v>
      </c>
      <c r="I43" s="29" t="n">
        <v>65</v>
      </c>
      <c r="J43" s="29" t="n">
        <v>120</v>
      </c>
      <c r="K43" s="25" t="n">
        <v>10</v>
      </c>
      <c r="L43" s="25" t="n">
        <v>30</v>
      </c>
      <c r="M43" s="30" t="n">
        <v>0.53</v>
      </c>
      <c r="N43" s="31" t="n">
        <v>4.2</v>
      </c>
      <c r="O43" s="31" t="n">
        <v>8.699999999999999</v>
      </c>
      <c r="P43" s="31" t="n">
        <v>6.8</v>
      </c>
      <c r="Q43" s="31" t="n">
        <v>2</v>
      </c>
      <c r="R43" s="31" t="n">
        <v>10</v>
      </c>
      <c r="S43" s="31" t="n">
        <v>8</v>
      </c>
      <c r="T43" s="31" t="n">
        <v>5</v>
      </c>
      <c r="U43" s="26">
        <f>COUNTIF(SKU明细!D3:D607,B43)</f>
        <v>1.0</v>
      </c>
      <c r="V43" s="32" t="inlineStr">
        <is>
          <t>需求中等：「想要」人数中位数 10、有想要标签的在售占比 9/30，属于有搜索但竞争平缓的常规位；单件利润空间可观：全新竞品中位价 ¥78，P25–P75 主流带 ¥65–120，有腾挪定价空间；竞争中等：Top30 中出现 1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43" s="32" t="inlineStr">
        <is>
          <t>常规备选，放在长尾分类；用低价冲量，不单独投流</t>
        </is>
      </c>
    </row>
    <row r="44" ht="58" customHeight="1">
      <c r="A44" s="25" t="n">
        <v>42</v>
      </c>
      <c r="B44" s="26" t="inlineStr">
        <is>
          <t>封口机袋子</t>
        </is>
      </c>
      <c r="C44" s="35" t="inlineStr">
        <is>
          <t>B</t>
        </is>
      </c>
      <c r="D44" s="28" t="n">
        <v>6.18</v>
      </c>
      <c r="E44" s="29" t="n">
        <v>9</v>
      </c>
      <c r="F44" s="29" t="n">
        <v>6</v>
      </c>
      <c r="G44" s="25" t="inlineStr">
        <is>
          <t>¥4–8</t>
        </is>
      </c>
      <c r="H44" s="29" t="n">
        <v>4</v>
      </c>
      <c r="I44" s="29" t="n">
        <v>8</v>
      </c>
      <c r="J44" s="29" t="n">
        <v>10</v>
      </c>
      <c r="K44" s="25" t="n">
        <v>4</v>
      </c>
      <c r="L44" s="25" t="n">
        <v>30</v>
      </c>
      <c r="M44" s="30" t="n">
        <v>0.63</v>
      </c>
      <c r="N44" s="31" t="n">
        <v>3.6</v>
      </c>
      <c r="O44" s="31" t="n">
        <v>4.6</v>
      </c>
      <c r="P44" s="31" t="n">
        <v>6.5</v>
      </c>
      <c r="Q44" s="31" t="n">
        <v>8</v>
      </c>
      <c r="R44" s="31" t="n">
        <v>10</v>
      </c>
      <c r="S44" s="31" t="n">
        <v>10</v>
      </c>
      <c r="T44" s="31" t="n">
        <v>10</v>
      </c>
      <c r="U44" s="26">
        <f>COUNTIF(SKU明细!D3:D607,B44)</f>
        <v>0.0</v>
      </c>
      <c r="V44" s="32" t="inlineStr">
        <is>
          <t>需求中等：「想要」人数中位数 4、有想要标签的在售占比 17/30，属于有搜索但竞争平缓的常规位；客单偏低：全新竞品中位价 ¥9，单件利润薄，必须靠走量或组合装摊薄运费；竞争中等：Top30 中出现 1 个不同品牌，需要在主图和标题上做出差异；售后偏高：属电器/易损品类，需提前说明退换规则，建议保留开箱视频；⚠️ 合规强监管：属强资质敏感品类，资质/标签/宣称任一不合规即触发下架或扣分；耗材属性强：可与主机绑定做「主品+耗材」复购套餐，锁定回头客；该品类样本中未见自有品牌在售，属空白位——无内卷，但也需教育市场成本；新手友好：商品好描述、体积小发货轻、决策快，适合铺量上架</t>
        </is>
      </c>
      <c r="W44" s="32" t="inlineStr">
        <is>
          <t>常规备选，放在长尾分类；用低价冲量，不单独投流</t>
        </is>
      </c>
    </row>
    <row r="45" ht="58" customHeight="1">
      <c r="A45" s="25" t="n">
        <v>43</v>
      </c>
      <c r="B45" s="26" t="inlineStr">
        <is>
          <t>筋膜环</t>
        </is>
      </c>
      <c r="C45" s="35" t="inlineStr">
        <is>
          <t>B</t>
        </is>
      </c>
      <c r="D45" s="28" t="n">
        <v>6.16</v>
      </c>
      <c r="E45" s="29" t="n">
        <v>49</v>
      </c>
      <c r="F45" s="29" t="n">
        <v>24</v>
      </c>
      <c r="G45" s="25" t="inlineStr">
        <is>
          <t>¥20–28</t>
        </is>
      </c>
      <c r="H45" s="29" t="n">
        <v>19</v>
      </c>
      <c r="I45" s="29" t="n">
        <v>28</v>
      </c>
      <c r="J45" s="29" t="n">
        <v>79</v>
      </c>
      <c r="K45" s="25" t="n">
        <v>4</v>
      </c>
      <c r="L45" s="25" t="n">
        <v>30</v>
      </c>
      <c r="M45" s="30" t="n">
        <v>0.77</v>
      </c>
      <c r="N45" s="31" t="n">
        <v>2.8</v>
      </c>
      <c r="O45" s="31" t="n">
        <v>7.8</v>
      </c>
      <c r="P45" s="31" t="n">
        <v>6.8</v>
      </c>
      <c r="Q45" s="31" t="n">
        <v>4</v>
      </c>
      <c r="R45" s="31" t="n">
        <v>7</v>
      </c>
      <c r="S45" s="31" t="n">
        <v>9</v>
      </c>
      <c r="T45" s="31" t="n">
        <v>4</v>
      </c>
      <c r="U45" s="26">
        <f>COUNTIF(SKU明细!D3:D607,B45)</f>
        <v>12.0</v>
      </c>
      <c r="V45" s="32" t="inlineStr">
        <is>
          <t>需求中等：「想要」人数中位数 4、有想要标签的在售占比 9/30，属于有搜索但竞争平缓的常规位；单件利润空间可观：全新竞品中位价 ¥49，P25–P75 主流带 ¥28–79，有腾挪定价空间；竞争中等：Top30 中出现 4 个不同品牌，需要在主图和标题上做出差异；售后风险极低：非电器或耗材形态，基本无充电/质保/退货纠纷；⚠️ 合规强监管：属强资质敏感品类，资质/标签/宣称任一不合规即触发下架或扣分；🔥 自有品牌已在此品类跑通：Top30 竞品中有 7 条是康佳/奥克斯/夏新等自有品牌（占 23%），买家已有认知与搜索基础，上架即有流量基础，试错成本最低；新手友好：商品好描述、体积小发货轻、决策快，适合铺量上架</t>
        </is>
      </c>
      <c r="W45" s="32" t="inlineStr">
        <is>
          <t>常规备选，放在长尾分类；用低价冲量，不单独投流</t>
        </is>
      </c>
    </row>
    <row r="46" ht="58" customHeight="1">
      <c r="A46" s="25" t="n">
        <v>44</v>
      </c>
      <c r="B46" s="26" t="inlineStr">
        <is>
          <t>便携迷你剃须刀</t>
        </is>
      </c>
      <c r="C46" s="35" t="inlineStr">
        <is>
          <t>B</t>
        </is>
      </c>
      <c r="D46" s="28" t="n">
        <v>6.14</v>
      </c>
      <c r="E46" s="29" t="n">
        <v>39</v>
      </c>
      <c r="F46" s="29" t="n">
        <v>28</v>
      </c>
      <c r="G46" s="25" t="inlineStr">
        <is>
          <t>¥24–31</t>
        </is>
      </c>
      <c r="H46" s="29" t="n">
        <v>23</v>
      </c>
      <c r="I46" s="29" t="n">
        <v>30</v>
      </c>
      <c r="J46" s="29" t="n">
        <v>56</v>
      </c>
      <c r="K46" s="25" t="n">
        <v>3</v>
      </c>
      <c r="L46" s="25" t="n">
        <v>30</v>
      </c>
      <c r="M46" s="30" t="n">
        <v>0.6</v>
      </c>
      <c r="N46" s="31" t="n">
        <v>3.2</v>
      </c>
      <c r="O46" s="31" t="n">
        <v>7.3</v>
      </c>
      <c r="P46" s="31" t="n">
        <v>6.6</v>
      </c>
      <c r="Q46" s="31" t="n">
        <v>2</v>
      </c>
      <c r="R46" s="31" t="n">
        <v>10</v>
      </c>
      <c r="S46" s="31" t="n">
        <v>9</v>
      </c>
      <c r="T46" s="31" t="n">
        <v>4</v>
      </c>
      <c r="U46" s="26">
        <f>COUNTIF(SKU明细!D3:D607,B46)</f>
        <v>91.0</v>
      </c>
      <c r="V46" s="32" t="inlineStr">
        <is>
          <t>需求中等：「想要」人数中位数 3、有想要标签的在售占比 16/30，属于有搜索但竞争平缓的常规位；单件利润空间可观：全新竞品中位价 ¥39，P25–P75 主流带 ¥30–56，有腾挪定价空间；竞争中等：Top30 中出现 5 个不同品牌，需要在主图和标题上做出差异；售后风险极低：非电器或耗材形态，基本无充电/质保/退货纠纷；⚠️ 合规强监管：属强资质敏感品类，资质/标签/宣称任一不合规即触发下架或扣分；🔥 自有品牌已在此品类跑通：Top30 竞品中有 6 条是康佳/奥克斯/夏新等自有品牌（占 20%），买家已有认知与搜索基础，上架即有流量基础，试错成本最低；新手友好：商品好描述、体积小发货轻、决策快，适合铺量上架</t>
        </is>
      </c>
      <c r="W46" s="32" t="inlineStr">
        <is>
          <t>常规备选，放在长尾分类；用低价冲量，不单独投流</t>
        </is>
      </c>
    </row>
    <row r="47" ht="58" customHeight="1">
      <c r="A47" s="25" t="n">
        <v>45</v>
      </c>
      <c r="B47" s="26" t="inlineStr">
        <is>
          <t>电动牙刷</t>
        </is>
      </c>
      <c r="C47" s="35" t="inlineStr">
        <is>
          <t>B</t>
        </is>
      </c>
      <c r="D47" s="28" t="n">
        <v>6.13</v>
      </c>
      <c r="E47" s="29" t="n">
        <v>56</v>
      </c>
      <c r="F47" s="29" t="n">
        <v>28</v>
      </c>
      <c r="G47" s="25" t="inlineStr">
        <is>
          <t>¥14–41</t>
        </is>
      </c>
      <c r="H47" s="29" t="n">
        <v>13</v>
      </c>
      <c r="I47" s="29" t="n">
        <v>39</v>
      </c>
      <c r="J47" s="29" t="n">
        <v>60</v>
      </c>
      <c r="K47" s="25" t="n">
        <v>3</v>
      </c>
      <c r="L47" s="25" t="n">
        <v>30</v>
      </c>
      <c r="M47" s="30" t="n">
        <v>0.83</v>
      </c>
      <c r="N47" s="31" t="n">
        <v>2.4</v>
      </c>
      <c r="O47" s="31" t="n">
        <v>7.9</v>
      </c>
      <c r="P47" s="31" t="n">
        <v>6.7</v>
      </c>
      <c r="Q47" s="31" t="n">
        <v>3</v>
      </c>
      <c r="R47" s="31" t="n">
        <v>10</v>
      </c>
      <c r="S47" s="31" t="n">
        <v>8</v>
      </c>
      <c r="T47" s="31" t="n">
        <v>7</v>
      </c>
      <c r="U47" s="26">
        <f>COUNTIF(SKU明细!D3:D607,B47)</f>
        <v>15.0</v>
      </c>
      <c r="V47" s="32" t="inlineStr">
        <is>
          <t>需求中等：「想要」人数中位数 3、有想要标签的在售占比 13/30，属于有搜索但竞争平缓的常规位；单件利润空间可观：全新竞品中位价 ¥56，P25–P75 主流带 ¥39–60，有腾挪定价空间；竞争中等：Top30 中出现 5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47" s="32" t="inlineStr">
        <is>
          <t>常规备选，放在长尾分类；用低价冲量，不单独投流</t>
        </is>
      </c>
    </row>
    <row r="48" ht="58" customHeight="1">
      <c r="A48" s="25" t="n">
        <v>46</v>
      </c>
      <c r="B48" s="26" t="inlineStr">
        <is>
          <t>手足皲裂膏</t>
        </is>
      </c>
      <c r="C48" s="35" t="inlineStr">
        <is>
          <t>B</t>
        </is>
      </c>
      <c r="D48" s="28" t="n">
        <v>6.1</v>
      </c>
      <c r="E48" s="29" t="n">
        <v>98</v>
      </c>
      <c r="F48" s="29" t="n">
        <v>12</v>
      </c>
      <c r="G48" s="25" t="inlineStr">
        <is>
          <t>¥9–16</t>
        </is>
      </c>
      <c r="H48" s="29" t="n">
        <v>9</v>
      </c>
      <c r="I48" s="29" t="n">
        <v>16</v>
      </c>
      <c r="J48" s="29" t="n">
        <v>200</v>
      </c>
      <c r="K48" s="25" t="n">
        <v>11.5</v>
      </c>
      <c r="L48" s="25" t="n">
        <v>30</v>
      </c>
      <c r="M48" s="30" t="n">
        <v>0</v>
      </c>
      <c r="N48" s="31" t="n">
        <v>5.2</v>
      </c>
      <c r="O48" s="31" t="n">
        <v>9.1</v>
      </c>
      <c r="P48" s="31" t="n">
        <v>6.4</v>
      </c>
      <c r="Q48" s="31" t="n">
        <v>5</v>
      </c>
      <c r="R48" s="31" t="n">
        <v>1</v>
      </c>
      <c r="S48" s="31" t="n">
        <v>9</v>
      </c>
      <c r="T48" s="31" t="n">
        <v>8</v>
      </c>
      <c r="U48" s="26">
        <f>COUNTIF(SKU明细!D3:D607,B48)</f>
        <v>1.0</v>
      </c>
      <c r="V48" s="32" t="inlineStr">
        <is>
          <t>需求中等：「想要」人数中位数 12、有想要标签的在售占比 20/30，属于有搜索但竞争平缓的常规位；单件利润空间可观：全量竞品中位价 ¥98，P25–P75 主流带 ¥16–200，有腾挪定价空间；竞争中等：Top30 中出现 0 个不同品牌，需要在主图和标题上做出差异；售后可控：常规小家电，做好成色描述与功能实测视频即可；无资质门槛：上架无特殊资质要求，标题可自由发挥；耗材属性强：可与主机绑定做「主品+耗材」复购套餐，锁定回头客；该品类样本中未见自有品牌在售，属空白位——无内卷，但也需教育市场成本；新手友好：商品好描述、体积小发货轻、决策快，适合铺量上架</t>
        </is>
      </c>
      <c r="W48" s="32" t="inlineStr">
        <is>
          <t>常规备选，放在长尾分类；用低价冲量，不单独投流</t>
        </is>
      </c>
    </row>
    <row r="49" ht="58" customHeight="1">
      <c r="A49" s="25" t="n">
        <v>47</v>
      </c>
      <c r="B49" s="26" t="inlineStr">
        <is>
          <t>儿童U型牙刷</t>
        </is>
      </c>
      <c r="C49" s="35" t="inlineStr">
        <is>
          <t>B</t>
        </is>
      </c>
      <c r="D49" s="28" t="n">
        <v>6.09</v>
      </c>
      <c r="E49" s="29" t="n">
        <v>10</v>
      </c>
      <c r="F49" s="29" t="n">
        <v>8</v>
      </c>
      <c r="G49" s="25" t="inlineStr">
        <is>
          <t>¥8–9</t>
        </is>
      </c>
      <c r="H49" s="29" t="n">
        <v>8</v>
      </c>
      <c r="I49" s="29" t="n">
        <v>9</v>
      </c>
      <c r="J49" s="29" t="n">
        <v>15</v>
      </c>
      <c r="K49" s="25" t="n">
        <v>19.5</v>
      </c>
      <c r="L49" s="25" t="n">
        <v>30</v>
      </c>
      <c r="M49" s="30" t="n">
        <v>0.57</v>
      </c>
      <c r="N49" s="31" t="n">
        <v>6.1</v>
      </c>
      <c r="O49" s="31" t="n">
        <v>4.8</v>
      </c>
      <c r="P49" s="31" t="n">
        <v>6.1</v>
      </c>
      <c r="Q49" s="31" t="n">
        <v>4</v>
      </c>
      <c r="R49" s="31" t="n">
        <v>10</v>
      </c>
      <c r="S49" s="31" t="n">
        <v>8</v>
      </c>
      <c r="T49" s="31" t="n">
        <v>6</v>
      </c>
      <c r="U49" s="26">
        <f>COUNTIF(SKU明细!D3:D607,B49)</f>
        <v>3.0</v>
      </c>
      <c r="V49" s="32" t="inlineStr">
        <is>
          <t>需求中等：「想要」人数中位数 20、有想要标签的在售占比 28/30，属于有搜索但竞争平缓的常规位；客单偏低：全新竞品中位价 ¥10，单件利润薄，必须靠走量或组合装摊薄运费；竞争中等：Top30 中出现 0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49" s="32" t="inlineStr">
        <is>
          <t>常规备选，放在长尾分类；用低价冲量，不单独投流</t>
        </is>
      </c>
    </row>
    <row r="50" ht="58" customHeight="1">
      <c r="A50" s="25" t="n">
        <v>48</v>
      </c>
      <c r="B50" s="26" t="inlineStr">
        <is>
          <t>头部按摩器</t>
        </is>
      </c>
      <c r="C50" s="35" t="inlineStr">
        <is>
          <t>B</t>
        </is>
      </c>
      <c r="D50" s="28" t="n">
        <v>6.03</v>
      </c>
      <c r="E50" s="29" t="n">
        <v>35</v>
      </c>
      <c r="F50" s="29" t="n">
        <v>21</v>
      </c>
      <c r="G50" s="25" t="inlineStr">
        <is>
          <t>¥18–24</t>
        </is>
      </c>
      <c r="H50" s="29" t="n">
        <v>17</v>
      </c>
      <c r="I50" s="29" t="n">
        <v>25</v>
      </c>
      <c r="J50" s="29" t="n">
        <v>60</v>
      </c>
      <c r="K50" s="25" t="n">
        <v>3</v>
      </c>
      <c r="L50" s="25" t="n">
        <v>30</v>
      </c>
      <c r="M50" s="30" t="n">
        <v>0.5</v>
      </c>
      <c r="N50" s="31" t="n">
        <v>2.4</v>
      </c>
      <c r="O50" s="31" t="n">
        <v>7.2</v>
      </c>
      <c r="P50" s="31" t="n">
        <v>6.7</v>
      </c>
      <c r="Q50" s="31" t="n">
        <v>4</v>
      </c>
      <c r="R50" s="31" t="n">
        <v>8</v>
      </c>
      <c r="S50" s="31" t="n">
        <v>8</v>
      </c>
      <c r="T50" s="31" t="n">
        <v>4</v>
      </c>
      <c r="U50" s="26">
        <f>COUNTIF(SKU明细!D3:D607,B50)</f>
        <v>1.0</v>
      </c>
      <c r="V50" s="32" t="inlineStr">
        <is>
          <t>需求中等：「想要」人数中位数 3、有想要标签的在售占比 13/30，属于有搜索但竞争平缓的常规位；单件利润空间可观：全新竞品中位价 ¥35，P25–P75 主流带 ¥25–60，有腾挪定价空间；竞争中等：Top30 中出现 6 个不同品牌，需要在主图和标题上做出差异；售后风险极低：非电器或耗材形态，基本无充电/质保/退货纠纷；⚠️ 合规强监管：属强资质敏感品类，资质/标签/宣称任一不合规即触发下架或扣分；🔥 自有品牌已在此品类跑通：Top30 竞品中有 7 条是康佳/奥克斯/夏新等自有品牌（占 23%），买家已有认知与搜索基础，上架即有流量基础，试错成本最低；新手友好：商品好描述、体积小发货轻、决策快，适合铺量上架</t>
        </is>
      </c>
      <c r="W50" s="32" t="inlineStr">
        <is>
          <t>常规备选，放在长尾分类；用低价冲量，不单独投流</t>
        </is>
      </c>
    </row>
    <row r="51" ht="58" customHeight="1">
      <c r="A51" s="25" t="n">
        <v>49</v>
      </c>
      <c r="B51" s="26" t="inlineStr">
        <is>
          <t>挂烫机</t>
        </is>
      </c>
      <c r="C51" s="35" t="inlineStr">
        <is>
          <t>B</t>
        </is>
      </c>
      <c r="D51" s="28" t="n">
        <v>6.02</v>
      </c>
      <c r="E51" s="29" t="n">
        <v>50</v>
      </c>
      <c r="F51" s="29" t="n">
        <v>21</v>
      </c>
      <c r="G51" s="25" t="inlineStr">
        <is>
          <t>¥20–22</t>
        </is>
      </c>
      <c r="H51" s="29" t="n">
        <v>19</v>
      </c>
      <c r="I51" s="29" t="n">
        <v>26</v>
      </c>
      <c r="J51" s="29" t="n">
        <v>50</v>
      </c>
      <c r="K51" s="25" t="n">
        <v>6</v>
      </c>
      <c r="L51" s="25" t="n">
        <v>30</v>
      </c>
      <c r="M51" s="30" t="n">
        <v>0.27</v>
      </c>
      <c r="N51" s="31" t="n">
        <v>3.4</v>
      </c>
      <c r="O51" s="31" t="n">
        <v>7.3</v>
      </c>
      <c r="P51" s="31" t="n">
        <v>6.7</v>
      </c>
      <c r="Q51" s="31" t="n">
        <v>2</v>
      </c>
      <c r="R51" s="31" t="n">
        <v>9</v>
      </c>
      <c r="S51" s="31" t="n">
        <v>7</v>
      </c>
      <c r="T51" s="31" t="n">
        <v>6</v>
      </c>
      <c r="U51" s="26">
        <f>COUNTIF(SKU明细!D3:D607,B51)</f>
        <v>0.0</v>
      </c>
      <c r="V51" s="32" t="inlineStr">
        <is>
          <t>需求中等：「想要」人数中位数 6、有想要标签的在售占比 13/30，属于有搜索但竞争平缓的常规位；单件利润空间可观：全新竞品中位价 ¥50，P25–P75 主流带 ¥26–50，有腾挪定价空间；竞争中等：Top30 中出现 5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</t>
        </is>
      </c>
      <c r="W51" s="32" t="inlineStr">
        <is>
          <t>常规备选，放在长尾分类；用低价冲量，不单独投流</t>
        </is>
      </c>
    </row>
    <row r="52" ht="58" customHeight="1">
      <c r="A52" s="25" t="n">
        <v>50</v>
      </c>
      <c r="B52" s="26" t="inlineStr">
        <is>
          <t>洁面仪</t>
        </is>
      </c>
      <c r="C52" s="35" t="inlineStr">
        <is>
          <t>B</t>
        </is>
      </c>
      <c r="D52" s="28" t="n">
        <v>5.93</v>
      </c>
      <c r="E52" s="29" t="n">
        <v>29</v>
      </c>
      <c r="F52" s="29" t="n">
        <v>12</v>
      </c>
      <c r="G52" s="25" t="inlineStr">
        <is>
          <t>¥6–18</t>
        </is>
      </c>
      <c r="H52" s="29" t="n">
        <v>6</v>
      </c>
      <c r="I52" s="29" t="n">
        <v>10</v>
      </c>
      <c r="J52" s="29" t="n">
        <v>39</v>
      </c>
      <c r="K52" s="25" t="n">
        <v>5</v>
      </c>
      <c r="L52" s="25" t="n">
        <v>30</v>
      </c>
      <c r="M52" s="30" t="n">
        <v>0.47</v>
      </c>
      <c r="N52" s="31" t="n">
        <v>3.9</v>
      </c>
      <c r="O52" s="31" t="n">
        <v>6.8</v>
      </c>
      <c r="P52" s="31" t="n">
        <v>6.6</v>
      </c>
      <c r="Q52" s="31" t="n">
        <v>4</v>
      </c>
      <c r="R52" s="31" t="n">
        <v>5</v>
      </c>
      <c r="S52" s="31" t="n">
        <v>9</v>
      </c>
      <c r="T52" s="31" t="n">
        <v>5</v>
      </c>
      <c r="U52" s="26">
        <f>COUNTIF(SKU明细!D3:D607,B52)</f>
        <v>2.0</v>
      </c>
      <c r="V52" s="32" t="inlineStr">
        <is>
          <t>需求中等：「想要」人数中位数 5、有想要标签的在售占比 15/30，属于有搜索但竞争平缓的常规位；价格中等：全新竞品中位价 ¥29，主流带 ¥10–39，薄利走量，需控运损；竞争中等：Top30 中出现 2 个不同品牌，需要在主图和标题上做出差异；售后风险极低：非电器或耗材形态，基本无充电/质保/退货纠纷；宣称需克制：文案避免「治疗/根治/祛斑」等医疗功效词，用「清洁/护理/辅助」表述；有一定复购：刀头/磨头/袋装等配套件可带动二次成交；自有品牌在该品类已有零星在售（2 条，占 7%），说明存在成交但尚未形成压倒性优势，适合抢占头部位置；新手友好：商品好描述、体积小发货轻、决策快，适合铺量上架</t>
        </is>
      </c>
      <c r="W52" s="32" t="inlineStr">
        <is>
          <t>常规备选，放在长尾分类；用低价冲量，不单独投流</t>
        </is>
      </c>
    </row>
    <row r="53" ht="58" customHeight="1">
      <c r="A53" s="25" t="n">
        <v>51</v>
      </c>
      <c r="B53" s="26" t="inlineStr">
        <is>
          <t>电动睫毛卷</t>
        </is>
      </c>
      <c r="C53" s="35" t="inlineStr">
        <is>
          <t>B</t>
        </is>
      </c>
      <c r="D53" s="28" t="n">
        <v>5.92</v>
      </c>
      <c r="E53" s="29" t="n">
        <v>10</v>
      </c>
      <c r="F53" s="29" t="n">
        <v>6</v>
      </c>
      <c r="G53" s="25" t="inlineStr">
        <is>
          <t>¥5–7</t>
        </is>
      </c>
      <c r="H53" s="29" t="n">
        <v>5</v>
      </c>
      <c r="I53" s="29" t="n">
        <v>7</v>
      </c>
      <c r="J53" s="29" t="n">
        <v>50</v>
      </c>
      <c r="K53" s="25" t="n">
        <v>47.5</v>
      </c>
      <c r="L53" s="25" t="n">
        <v>30</v>
      </c>
      <c r="M53" s="30" t="n">
        <v>0.83</v>
      </c>
      <c r="N53" s="31" t="n">
        <v>6.8</v>
      </c>
      <c r="O53" s="31" t="n">
        <v>4.8</v>
      </c>
      <c r="P53" s="31" t="n">
        <v>6.6</v>
      </c>
      <c r="Q53" s="31" t="n">
        <v>3</v>
      </c>
      <c r="R53" s="31" t="n">
        <v>7</v>
      </c>
      <c r="S53" s="31" t="n">
        <v>9</v>
      </c>
      <c r="T53" s="31" t="n">
        <v>4</v>
      </c>
      <c r="U53" s="26">
        <f>COUNTIF(SKU明细!D3:D607,B53)</f>
        <v>14.0</v>
      </c>
      <c r="V53" s="32" t="inlineStr">
        <is>
          <t>需求中等：「想要」人数中位数 48、有想要标签的在售占比 14/30，属于有搜索但竞争平缓的常规位；客单偏低：全新竞品中位价 ¥10，单件利润薄，必须靠走量或组合装摊薄运费；竞争中等：Top30 中出现 1 个不同品牌，需要在主图和标题上做出差异；售后风险极低：非电器或耗材形态，基本无充电/质保/退货纠纷；⚠️ 合规强监管：属强资质敏感品类，资质/标签/宣称任一不合规即触发下架或扣分；该品类样本中未见自有品牌在售，属空白位——无内卷，但也需教育市场成本；新手友好：商品好描述、体积小发货轻、决策快，适合铺量上架</t>
        </is>
      </c>
      <c r="W53" s="32" t="inlineStr">
        <is>
          <t>常规备选，放在长尾分类；用低价冲量，不单独投流</t>
        </is>
      </c>
    </row>
    <row r="54" ht="58" customHeight="1">
      <c r="A54" s="25" t="n">
        <v>52</v>
      </c>
      <c r="B54" s="26" t="inlineStr">
        <is>
          <t>卷发棒</t>
        </is>
      </c>
      <c r="C54" s="35" t="inlineStr">
        <is>
          <t>B</t>
        </is>
      </c>
      <c r="D54" s="28" t="n">
        <v>5.88</v>
      </c>
      <c r="E54" s="29" t="n">
        <v>30</v>
      </c>
      <c r="F54" s="29" t="n">
        <v>26</v>
      </c>
      <c r="G54" s="25" t="inlineStr">
        <is>
          <t>¥25–28</t>
        </is>
      </c>
      <c r="H54" s="29" t="n">
        <v>24</v>
      </c>
      <c r="I54" s="29" t="n">
        <v>25</v>
      </c>
      <c r="J54" s="29" t="n">
        <v>36</v>
      </c>
      <c r="K54" s="25" t="n">
        <v>8</v>
      </c>
      <c r="L54" s="25" t="n">
        <v>30</v>
      </c>
      <c r="M54" s="30" t="n">
        <v>0.47</v>
      </c>
      <c r="N54" s="31" t="n">
        <v>3.9</v>
      </c>
      <c r="O54" s="31" t="n">
        <v>6.9</v>
      </c>
      <c r="P54" s="31" t="n">
        <v>6.7</v>
      </c>
      <c r="Q54" s="31" t="n">
        <v>2</v>
      </c>
      <c r="R54" s="31" t="n">
        <v>9</v>
      </c>
      <c r="S54" s="31" t="n">
        <v>8</v>
      </c>
      <c r="T54" s="31" t="n">
        <v>6</v>
      </c>
      <c r="U54" s="26">
        <f>COUNTIF(SKU明细!D3:D607,B54)</f>
        <v>0.0</v>
      </c>
      <c r="V54" s="32" t="inlineStr">
        <is>
          <t>需求中等：「想要」人数中位数 8、有想要标签的在售占比 13/30，属于有搜索但竞争平缓的常规位；价格中等：全新竞品中位价 ¥30，主流带 ¥25–36，薄利走量，需控运损；竞争中等：Top30 中出现 1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54" s="32" t="inlineStr">
        <is>
          <t>常规备选，放在长尾分类；用低价冲量，不单独投流</t>
        </is>
      </c>
    </row>
    <row r="55" ht="58" customHeight="1">
      <c r="A55" s="25" t="n">
        <v>53</v>
      </c>
      <c r="B55" s="26" t="inlineStr">
        <is>
          <t>暖菜板</t>
        </is>
      </c>
      <c r="C55" s="35" t="inlineStr">
        <is>
          <t>B</t>
        </is>
      </c>
      <c r="D55" s="28" t="n">
        <v>5.85</v>
      </c>
      <c r="E55" s="29" t="n">
        <v>59</v>
      </c>
      <c r="F55" s="29" t="n">
        <v>44</v>
      </c>
      <c r="G55" s="25" t="inlineStr">
        <is>
          <t>¥41–46</t>
        </is>
      </c>
      <c r="H55" s="29" t="n">
        <v>39</v>
      </c>
      <c r="I55" s="29" t="n">
        <v>45</v>
      </c>
      <c r="J55" s="29" t="n">
        <v>69</v>
      </c>
      <c r="K55" s="25" t="n">
        <v>6</v>
      </c>
      <c r="L55" s="25" t="n">
        <v>30</v>
      </c>
      <c r="M55" s="30" t="n">
        <v>0.5</v>
      </c>
      <c r="N55" s="31" t="n">
        <v>3.4</v>
      </c>
      <c r="O55" s="31" t="n">
        <v>8.1</v>
      </c>
      <c r="P55" s="31" t="n">
        <v>6.7</v>
      </c>
      <c r="Q55" s="31" t="n">
        <v>3</v>
      </c>
      <c r="R55" s="31" t="n">
        <v>10</v>
      </c>
      <c r="S55" s="31" t="n">
        <v>8</v>
      </c>
      <c r="T55" s="31" t="n">
        <v>5</v>
      </c>
      <c r="U55" s="26">
        <f>COUNTIF(SKU明细!D3:D607,B55)</f>
        <v>1.0</v>
      </c>
      <c r="V55" s="32" t="inlineStr">
        <is>
          <t>需求中等：「想要」人数中位数 6、有想要标签的在售占比 12/30，属于有搜索但竞争平缓的常规位；单件利润空间可观：全新竞品中位价 ¥59，P25–P75 主流带 ¥45–69，有腾挪定价空间；竞争中等：Top30 中出现 3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55" s="32" t="inlineStr">
        <is>
          <t>常规备选，放在长尾分类；用低价冲量，不单独投流</t>
        </is>
      </c>
    </row>
    <row r="56" ht="58" customHeight="1">
      <c r="A56" s="25" t="n">
        <v>54</v>
      </c>
      <c r="B56" s="26" t="inlineStr">
        <is>
          <t>牙齿护理仪</t>
        </is>
      </c>
      <c r="C56" s="35" t="inlineStr">
        <is>
          <t>B</t>
        </is>
      </c>
      <c r="D56" s="28" t="n">
        <v>5.83</v>
      </c>
      <c r="E56" s="29" t="n">
        <v>35</v>
      </c>
      <c r="F56" s="29" t="n">
        <v>14</v>
      </c>
      <c r="G56" s="25" t="inlineStr">
        <is>
          <t>¥9–19</t>
        </is>
      </c>
      <c r="H56" s="29" t="n">
        <v>9</v>
      </c>
      <c r="I56" s="29" t="n">
        <v>18</v>
      </c>
      <c r="J56" s="29" t="n">
        <v>45</v>
      </c>
      <c r="K56" s="25" t="n">
        <v>4</v>
      </c>
      <c r="L56" s="25" t="n">
        <v>30</v>
      </c>
      <c r="M56" s="30" t="n">
        <v>0.53</v>
      </c>
      <c r="N56" s="31" t="n">
        <v>3.6</v>
      </c>
      <c r="O56" s="31" t="n">
        <v>7.2</v>
      </c>
      <c r="P56" s="31" t="n">
        <v>6.5</v>
      </c>
      <c r="Q56" s="31" t="n">
        <v>4</v>
      </c>
      <c r="R56" s="31" t="n">
        <v>3</v>
      </c>
      <c r="S56" s="31" t="n">
        <v>7</v>
      </c>
      <c r="T56" s="31" t="n">
        <v>6</v>
      </c>
      <c r="U56" s="26">
        <f>COUNTIF(SKU明细!D3:D607,B56)</f>
        <v>5.0</v>
      </c>
      <c r="V56" s="32" t="inlineStr">
        <is>
          <t>需求中等：「想要」人数中位数 4、有想要标签的在售占比 17/30，属于有搜索但竞争平缓的常规位；单件利润空间可观：全新竞品中位价 ¥35，P25–P75 主流带 ¥18–45，有腾挪定价空间；竞争中等：Top30 中出现 3 个不同品牌，需要在主图和标题上做出差异；售后风险极低：非电器或耗材形态，基本无充电/质保/退货纠纷；无资质门槛：上架无特殊资质要求，标题可自由发挥；有一定复购：刀头/磨头/袋装等配套件可带动二次成交；自有品牌在该品类已有零星在售（4 条，占 13%），说明存在成交但尚未形成压倒性优势，适合抢占头部位置</t>
        </is>
      </c>
      <c r="W56" s="32" t="inlineStr">
        <is>
          <t>常规备选，放在长尾分类；用低价冲量，不单独投流</t>
        </is>
      </c>
    </row>
    <row r="57" ht="58" customHeight="1">
      <c r="A57" s="25" t="n">
        <v>55</v>
      </c>
      <c r="B57" s="26" t="inlineStr">
        <is>
          <t>筋膜枪</t>
        </is>
      </c>
      <c r="C57" s="35" t="inlineStr">
        <is>
          <t>B</t>
        </is>
      </c>
      <c r="D57" s="28" t="n">
        <v>5.83</v>
      </c>
      <c r="E57" s="29" t="n">
        <v>27</v>
      </c>
      <c r="F57" s="29" t="n">
        <v>18</v>
      </c>
      <c r="G57" s="25" t="inlineStr">
        <is>
          <t>¥16–19</t>
        </is>
      </c>
      <c r="H57" s="29" t="n">
        <v>15</v>
      </c>
      <c r="I57" s="29" t="n">
        <v>19</v>
      </c>
      <c r="J57" s="29" t="n">
        <v>30</v>
      </c>
      <c r="K57" s="25" t="n">
        <v>4</v>
      </c>
      <c r="L57" s="25" t="n">
        <v>30</v>
      </c>
      <c r="M57" s="30" t="n">
        <v>0.77</v>
      </c>
      <c r="N57" s="31" t="n">
        <v>2.8</v>
      </c>
      <c r="O57" s="31" t="n">
        <v>6.7</v>
      </c>
      <c r="P57" s="31" t="n">
        <v>6.8</v>
      </c>
      <c r="Q57" s="31" t="n">
        <v>3</v>
      </c>
      <c r="R57" s="31" t="n">
        <v>6</v>
      </c>
      <c r="S57" s="31" t="n">
        <v>8</v>
      </c>
      <c r="T57" s="31" t="n">
        <v>4</v>
      </c>
      <c r="U57" s="26">
        <f>COUNTIF(SKU明细!D3:D607,B57)</f>
        <v>5.0</v>
      </c>
      <c r="V57" s="32" t="inlineStr">
        <is>
          <t>需求中等：「想要」人数中位数 4、有想要标签的在售占比 11/30，属于有搜索但竞争平缓的常规位；价格中等：全新竞品中位价 ¥27，主流带 ¥19–30，薄利走量，需控运损；竞争中等：Top30 中出现 4 个不同品牌，需要在主图和标题上做出差异；售后风险极低：非电器或耗材形态，基本无充电/质保/退货纠纷；宣称需克制：文案避免「治疗/根治/祛斑」等医疗功效词，用「清洁/护理/辅助」表述；🔥 自有品牌已在此品类跑通：Top30 竞品中有 13 条是康佳/奥克斯/夏新等自有品牌（占 43%），买家已有认知与搜索基础，上架即有流量基础，试错成本最低；新手友好：商品好描述、体积小发货轻、决策快，适合铺量上架</t>
        </is>
      </c>
      <c r="W57" s="32" t="inlineStr">
        <is>
          <t>常规备选，放在长尾分类；用低价冲量，不单独投流</t>
        </is>
      </c>
    </row>
    <row r="58" ht="58" customHeight="1">
      <c r="A58" s="25" t="n">
        <v>56</v>
      </c>
      <c r="B58" s="26" t="inlineStr">
        <is>
          <t>隐形眼镜清洁盒</t>
        </is>
      </c>
      <c r="C58" s="35" t="inlineStr">
        <is>
          <t>B</t>
        </is>
      </c>
      <c r="D58" s="28" t="n">
        <v>5.83</v>
      </c>
      <c r="E58" s="29" t="n">
        <v>19</v>
      </c>
      <c r="F58" s="29" t="n">
        <v>14</v>
      </c>
      <c r="G58" s="25" t="inlineStr">
        <is>
          <t>¥12–15</t>
        </is>
      </c>
      <c r="H58" s="29" t="n">
        <v>11</v>
      </c>
      <c r="I58" s="29" t="n">
        <v>15</v>
      </c>
      <c r="J58" s="29" t="n">
        <v>30</v>
      </c>
      <c r="K58" s="25" t="n">
        <v>4.5</v>
      </c>
      <c r="L58" s="25" t="n">
        <v>30</v>
      </c>
      <c r="M58" s="30" t="n">
        <v>0.67</v>
      </c>
      <c r="N58" s="31" t="n">
        <v>3</v>
      </c>
      <c r="O58" s="31" t="n">
        <v>6</v>
      </c>
      <c r="P58" s="31" t="n">
        <v>6.8</v>
      </c>
      <c r="Q58" s="31" t="n">
        <v>7</v>
      </c>
      <c r="R58" s="31" t="n">
        <v>7</v>
      </c>
      <c r="S58" s="31" t="n">
        <v>9</v>
      </c>
      <c r="T58" s="31" t="n">
        <v>8</v>
      </c>
      <c r="U58" s="26">
        <f>COUNTIF(SKU明细!D3:D607,B58)</f>
        <v>1.0</v>
      </c>
      <c r="V58" s="32" t="inlineStr">
        <is>
          <t>需求中等：「想要」人数中位数 4、有想要标签的在售占比 10/30，属于有搜索但竞争平缓的常规位；价格中等：全新竞品中位价 ¥19，主流带 ¥15–30，薄利走量，需控运损；竞争中等：Top30 中出现 0 个不同品牌，需要在主图和标题上做出差异；售后可控：常规小家电，做好成色描述与功能实测视频即可；⚠️ 合规强监管：属强资质敏感品类，资质/标签/宣称任一不合规即触发下架或扣分；耗材属性强：可与主机绑定做「主品+耗材」复购套餐，锁定回头客；该品类样本中未见自有品牌在售，属空白位——无内卷，但也需教育市场成本；新手友好：商品好描述、体积小发货轻、决策快，适合铺量上架</t>
        </is>
      </c>
      <c r="W58" s="32" t="inlineStr">
        <is>
          <t>常规备选，放在长尾分类；用低价冲量，不单独投流</t>
        </is>
      </c>
    </row>
    <row r="59" ht="58" customHeight="1">
      <c r="A59" s="25" t="n">
        <v>57</v>
      </c>
      <c r="B59" s="26" t="inlineStr">
        <is>
          <t>豆浆机</t>
        </is>
      </c>
      <c r="C59" s="35" t="inlineStr">
        <is>
          <t>B</t>
        </is>
      </c>
      <c r="D59" s="28" t="n">
        <v>5.82</v>
      </c>
      <c r="E59" s="29" t="n">
        <v>58</v>
      </c>
      <c r="F59" s="29" t="n">
        <v>34</v>
      </c>
      <c r="G59" s="25" t="inlineStr">
        <is>
          <t>¥21–47</t>
        </is>
      </c>
      <c r="H59" s="29" t="n">
        <v>20</v>
      </c>
      <c r="I59" s="29" t="n">
        <v>40</v>
      </c>
      <c r="J59" s="29" t="n">
        <v>60</v>
      </c>
      <c r="K59" s="25" t="n">
        <v>9</v>
      </c>
      <c r="L59" s="25" t="n">
        <v>30</v>
      </c>
      <c r="M59" s="30" t="n">
        <v>0.6</v>
      </c>
      <c r="N59" s="31" t="n">
        <v>4</v>
      </c>
      <c r="O59" s="31" t="n">
        <v>8</v>
      </c>
      <c r="P59" s="31" t="n">
        <v>6.9</v>
      </c>
      <c r="Q59" s="31" t="n">
        <v>1</v>
      </c>
      <c r="R59" s="31" t="n">
        <v>9</v>
      </c>
      <c r="S59" s="31" t="n">
        <v>5</v>
      </c>
      <c r="T59" s="31" t="n">
        <v>4</v>
      </c>
      <c r="U59" s="26">
        <f>COUNTIF(SKU明细!D3:D607,B59)</f>
        <v>1.0</v>
      </c>
      <c r="V59" s="32" t="inlineStr">
        <is>
          <t>需求中等：「想要」人数中位数 9、有想要标签的在售占比 8/30，属于有搜索但竞争平缓的常规位；单件利润空间可观：全新竞品中位价 ¥58，P25–P75 主流带 ¥40–60，有腾挪定价空间；竞争中等：Top30 中出现 6 个不同品牌，需要在主图和标题上做出差异；售后风险极低：非电器或耗材形态，基本无充电/质保/退货纠纷；⚠️ 合规强监管：属强资质敏感品类，资质/标签/宣称任一不合规即触发下架或扣分；自有品牌在该品类已有零星在售（2 条，占 7%），说明存在成交但尚未形成压倒性优势，适合抢占头部位置；新手门槛偏高：需讲清参数/尺寸/安装或操作说明，图文投入要足</t>
        </is>
      </c>
      <c r="W59" s="32" t="inlineStr">
        <is>
          <t>常规备选，放在长尾分类；用低价冲量，不单独投流</t>
        </is>
      </c>
    </row>
    <row r="60" ht="58" customHeight="1">
      <c r="A60" s="25" t="n">
        <v>58</v>
      </c>
      <c r="B60" s="26" t="inlineStr">
        <is>
          <t>手持吸尘器</t>
        </is>
      </c>
      <c r="C60" s="35" t="inlineStr">
        <is>
          <t>B</t>
        </is>
      </c>
      <c r="D60" s="28" t="n">
        <v>5.81</v>
      </c>
      <c r="E60" s="29" t="n">
        <v>28</v>
      </c>
      <c r="F60" s="29" t="n">
        <v>12</v>
      </c>
      <c r="G60" s="25" t="inlineStr">
        <is>
          <t>¥10–15</t>
        </is>
      </c>
      <c r="H60" s="29" t="n">
        <v>10</v>
      </c>
      <c r="I60" s="29" t="n">
        <v>15</v>
      </c>
      <c r="J60" s="29" t="n">
        <v>32</v>
      </c>
      <c r="K60" s="25" t="n">
        <v>9</v>
      </c>
      <c r="L60" s="25" t="n">
        <v>30</v>
      </c>
      <c r="M60" s="30" t="n">
        <v>0.93</v>
      </c>
      <c r="N60" s="31" t="n">
        <v>4</v>
      </c>
      <c r="O60" s="31" t="n">
        <v>6.7</v>
      </c>
      <c r="P60" s="31" t="n">
        <v>6.7</v>
      </c>
      <c r="Q60" s="31" t="n">
        <v>2</v>
      </c>
      <c r="R60" s="31" t="n">
        <v>9</v>
      </c>
      <c r="S60" s="31" t="n">
        <v>7</v>
      </c>
      <c r="T60" s="31" t="n">
        <v>6</v>
      </c>
      <c r="U60" s="26">
        <f>COUNTIF(SKU明细!D3:D607,B60)</f>
        <v>6.0</v>
      </c>
      <c r="V60" s="32" t="inlineStr">
        <is>
          <t>需求中等：「想要」人数中位数 9、有想要标签的在售占比 13/30，属于有搜索但竞争平缓的常规位；价格中等：全新竞品中位价 ¥28，主流带 ¥15–32，薄利走量，需控运损；竞争中等：Top30 中出现 2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</t>
        </is>
      </c>
      <c r="W60" s="32" t="inlineStr">
        <is>
          <t>常规备选，放在长尾分类；用低价冲量，不单独投流</t>
        </is>
      </c>
    </row>
    <row r="61" ht="58" customHeight="1">
      <c r="A61" s="25" t="n">
        <v>59</v>
      </c>
      <c r="B61" s="26" t="inlineStr">
        <is>
          <t>超声波洁牙器</t>
        </is>
      </c>
      <c r="C61" s="35" t="inlineStr">
        <is>
          <t>B</t>
        </is>
      </c>
      <c r="D61" s="28" t="n">
        <v>5.8</v>
      </c>
      <c r="E61" s="29" t="n">
        <v>36</v>
      </c>
      <c r="F61" s="29" t="n">
        <v>28</v>
      </c>
      <c r="G61" s="25" t="inlineStr">
        <is>
          <t>¥25–30</t>
        </is>
      </c>
      <c r="H61" s="29" t="n">
        <v>24</v>
      </c>
      <c r="I61" s="29" t="n">
        <v>25</v>
      </c>
      <c r="J61" s="29" t="n">
        <v>40</v>
      </c>
      <c r="K61" s="25" t="n">
        <v>6</v>
      </c>
      <c r="L61" s="25" t="n">
        <v>30</v>
      </c>
      <c r="M61" s="30" t="n">
        <v>0.43</v>
      </c>
      <c r="N61" s="31" t="n">
        <v>3.4</v>
      </c>
      <c r="O61" s="31" t="n">
        <v>7.2</v>
      </c>
      <c r="P61" s="31" t="n">
        <v>6.6</v>
      </c>
      <c r="Q61" s="31" t="n">
        <v>4</v>
      </c>
      <c r="R61" s="31" t="n">
        <v>3</v>
      </c>
      <c r="S61" s="31" t="n">
        <v>7</v>
      </c>
      <c r="T61" s="31" t="n">
        <v>6</v>
      </c>
      <c r="U61" s="26">
        <f>COUNTIF(SKU明细!D3:D607,B61)</f>
        <v>11.0</v>
      </c>
      <c r="V61" s="32" t="inlineStr">
        <is>
          <t>需求中等：「想要」人数中位数 6、有想要标签的在售占比 14/30，属于有搜索但竞争平缓的常规位；单件利润空间可观：全新竞品中位价 ¥36，P25–P75 主流带 ¥25–40，有腾挪定价空间；竞争中等：Top30 中出现 1 个不同品牌，需要在主图和标题上做出差异；售后风险极低：非电器或耗材形态，基本无充电/质保/退货纠纷；无资质门槛：上架无特殊资质要求，标题可自由发挥；有一定复购：刀头/磨头/袋装等配套件可带动二次成交；自有品牌在该品类已有零星在售（4 条，占 13%），说明存在成交但尚未形成压倒性优势，适合抢占头部位置</t>
        </is>
      </c>
      <c r="W61" s="32" t="inlineStr">
        <is>
          <t>常规备选，放在长尾分类；用低价冲量，不单独投流</t>
        </is>
      </c>
    </row>
    <row r="62" ht="58" customHeight="1">
      <c r="A62" s="25" t="n">
        <v>60</v>
      </c>
      <c r="B62" s="26" t="inlineStr">
        <is>
          <t>化妆刷清洗器</t>
        </is>
      </c>
      <c r="C62" s="35" t="inlineStr">
        <is>
          <t>B</t>
        </is>
      </c>
      <c r="D62" s="28" t="n">
        <v>5.79</v>
      </c>
      <c r="E62" s="29" t="n">
        <v>15</v>
      </c>
      <c r="F62" s="29" t="n">
        <v>4</v>
      </c>
      <c r="G62" s="25" t="inlineStr">
        <is>
          <t>¥3–4</t>
        </is>
      </c>
      <c r="H62" s="29" t="n">
        <v>3</v>
      </c>
      <c r="I62" s="29" t="n">
        <v>4</v>
      </c>
      <c r="J62" s="29" t="n">
        <v>12</v>
      </c>
      <c r="K62" s="25" t="n">
        <v>11</v>
      </c>
      <c r="L62" s="25" t="n">
        <v>30</v>
      </c>
      <c r="M62" s="30" t="n">
        <v>0.33</v>
      </c>
      <c r="N62" s="31" t="n">
        <v>5.2</v>
      </c>
      <c r="O62" s="31" t="n">
        <v>5.5</v>
      </c>
      <c r="P62" s="31" t="n">
        <v>6.6</v>
      </c>
      <c r="Q62" s="31" t="n">
        <v>5</v>
      </c>
      <c r="R62" s="31" t="n">
        <v>6</v>
      </c>
      <c r="S62" s="31" t="n">
        <v>9</v>
      </c>
      <c r="T62" s="31" t="n">
        <v>6</v>
      </c>
      <c r="U62" s="26">
        <f>COUNTIF(SKU明细!D3:D607,B62)</f>
        <v>2.0</v>
      </c>
      <c r="V62" s="32" t="inlineStr">
        <is>
          <t>需求中等：「想要」人数中位数 11、有想要标签的在售占比 15/30，属于有搜索但竞争平缓的常规位；价格中等：全新竞品中位价 ¥15，主流带 ¥4–12，薄利走量，需控运损；竞争中等：Top30 中出现 0 个不同品牌，需要在主图和标题上做出差异；售后可控：常规小家电，做好成色描述与功能实测视频即可；宣称需克制：文案避免「治疗/根治/祛斑」等医疗功效词，用「清洁/护理/辅助」表述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62" s="32" t="inlineStr">
        <is>
          <t>常规备选，放在长尾分类；用低价冲量，不单独投流</t>
        </is>
      </c>
    </row>
    <row r="63" ht="58" customHeight="1">
      <c r="A63" s="25" t="n">
        <v>61</v>
      </c>
      <c r="B63" s="26" t="inlineStr">
        <is>
          <t>电动剃须刀</t>
        </is>
      </c>
      <c r="C63" s="35" t="inlineStr">
        <is>
          <t>B</t>
        </is>
      </c>
      <c r="D63" s="28" t="n">
        <v>5.78</v>
      </c>
      <c r="E63" s="29" t="n">
        <v>39</v>
      </c>
      <c r="F63" s="29" t="n">
        <v>26</v>
      </c>
      <c r="G63" s="25" t="inlineStr">
        <is>
          <t>¥24–28</t>
        </is>
      </c>
      <c r="H63" s="29" t="n">
        <v>23</v>
      </c>
      <c r="I63" s="29" t="n">
        <v>29</v>
      </c>
      <c r="J63" s="29" t="n">
        <v>56</v>
      </c>
      <c r="K63" s="25" t="n">
        <v>4</v>
      </c>
      <c r="L63" s="25" t="n">
        <v>60</v>
      </c>
      <c r="M63" s="30" t="n">
        <v>0.68</v>
      </c>
      <c r="N63" s="31" t="n">
        <v>3.6</v>
      </c>
      <c r="O63" s="31" t="n">
        <v>7.3</v>
      </c>
      <c r="P63" s="31" t="n">
        <v>1.8</v>
      </c>
      <c r="Q63" s="31" t="n">
        <v>2</v>
      </c>
      <c r="R63" s="31" t="n">
        <v>10</v>
      </c>
      <c r="S63" s="31" t="n">
        <v>9</v>
      </c>
      <c r="T63" s="31" t="n">
        <v>5</v>
      </c>
      <c r="U63" s="26">
        <f>COUNTIF(SKU明细!D3:D607,B63)</f>
        <v>31.0</v>
      </c>
      <c r="V63" s="32" t="inlineStr">
        <is>
          <t>需求中等：「想要」人数中位数 4、有想要标签的在售占比 29/30，属于有搜索但竞争平缓的常规位；单件利润空间可观：全新竞品中位价 ¥39，P25–P75 主流带 ¥29–56，有腾挪定价空间；竞争激烈：Top30 里已挤进 10 个品牌，头部品牌已形成价格锚定，正面硬拼不划算；售后风险极低：非电器或耗材形态，基本无充电/质保/退货纠纷；⚠️ 合规强监管：属强资质敏感品类，资质/标签/宣称任一不合规即触发下架或扣分；有一定复购：刀头/磨头/袋装等配套件可带动二次成交；🔥 自有品牌已在此品类跑通：Top30 竞品中有 11 条是康佳/奥克斯/夏新等自有品牌（占 18%），买家已有认知与搜索基础，上架即有流量基础，试错成本最低；新手友好：商品好描述、体积小发货轻、决策快，适合铺量上架</t>
        </is>
      </c>
      <c r="W63" s="32" t="inlineStr">
        <is>
          <t>常规备选，放在长尾分类；用低价冲量，不单独投流</t>
        </is>
      </c>
    </row>
    <row r="64" ht="58" customHeight="1">
      <c r="A64" s="25" t="n">
        <v>62</v>
      </c>
      <c r="B64" s="26" t="inlineStr">
        <is>
          <t>迷你洗衣机</t>
        </is>
      </c>
      <c r="C64" s="35" t="inlineStr">
        <is>
          <t>B</t>
        </is>
      </c>
      <c r="D64" s="28" t="n">
        <v>5.78</v>
      </c>
      <c r="E64" s="29" t="n">
        <v>68</v>
      </c>
      <c r="F64" s="29" t="n">
        <v>24</v>
      </c>
      <c r="G64" s="25" t="inlineStr">
        <is>
          <t>¥18–31</t>
        </is>
      </c>
      <c r="H64" s="29" t="n">
        <v>17</v>
      </c>
      <c r="I64" s="29" t="n">
        <v>35</v>
      </c>
      <c r="J64" s="29" t="n">
        <v>84</v>
      </c>
      <c r="K64" s="25" t="n">
        <v>7</v>
      </c>
      <c r="L64" s="25" t="n">
        <v>30</v>
      </c>
      <c r="M64" s="30" t="n">
        <v>0.77</v>
      </c>
      <c r="N64" s="31" t="n">
        <v>4.4</v>
      </c>
      <c r="O64" s="31" t="n">
        <v>8.199999999999999</v>
      </c>
      <c r="P64" s="31" t="n">
        <v>6.5</v>
      </c>
      <c r="Q64" s="31" t="n">
        <v>1</v>
      </c>
      <c r="R64" s="31" t="n">
        <v>9</v>
      </c>
      <c r="S64" s="31" t="n">
        <v>5</v>
      </c>
      <c r="T64" s="31" t="n">
        <v>4</v>
      </c>
      <c r="U64" s="26">
        <f>COUNTIF(SKU明细!D3:D607,B64)</f>
        <v>2.0</v>
      </c>
      <c r="V64" s="32" t="inlineStr">
        <is>
          <t>需求中等：「想要」人数中位数 7、有想要标签的在售占比 17/30，属于有搜索但竞争平缓的常规位；单件利润空间可观：全新竞品中位价 ¥68，P25–P75 主流带 ¥35–84，有腾挪定价空间；竞争中等：Top30 中出现 3 个不同品牌，需要在主图和标题上做出差异；售后风险极低：非电器或耗材形态，基本无充电/质保/退货纠纷；⚠️ 合规强监管：属强资质敏感品类，资质/标签/宣称任一不合规即触发下架或扣分；新手门槛偏高：需讲清参数/尺寸/安装或操作说明，图文投入要足</t>
        </is>
      </c>
      <c r="W64" s="32" t="inlineStr">
        <is>
          <t>常规备选，放在长尾分类；用低价冲量，不单独投流</t>
        </is>
      </c>
    </row>
    <row r="65" ht="58" customHeight="1">
      <c r="A65" s="25" t="n">
        <v>63</v>
      </c>
      <c r="B65" s="26" t="inlineStr">
        <is>
          <t>刮痧仪</t>
        </is>
      </c>
      <c r="C65" s="35" t="inlineStr">
        <is>
          <t>B</t>
        </is>
      </c>
      <c r="D65" s="28" t="n">
        <v>5.77</v>
      </c>
      <c r="E65" s="29" t="n">
        <v>26</v>
      </c>
      <c r="F65" s="29" t="n">
        <v>18</v>
      </c>
      <c r="G65" s="25" t="inlineStr">
        <is>
          <t>¥15–20</t>
        </is>
      </c>
      <c r="H65" s="29" t="n">
        <v>14</v>
      </c>
      <c r="I65" s="29" t="n">
        <v>18</v>
      </c>
      <c r="J65" s="29" t="n">
        <v>30</v>
      </c>
      <c r="K65" s="25" t="n">
        <v>3</v>
      </c>
      <c r="L65" s="25" t="n">
        <v>30</v>
      </c>
      <c r="M65" s="30" t="n">
        <v>0.67</v>
      </c>
      <c r="N65" s="31" t="n">
        <v>3.2</v>
      </c>
      <c r="O65" s="31" t="n">
        <v>6.6</v>
      </c>
      <c r="P65" s="31" t="n">
        <v>6.6</v>
      </c>
      <c r="Q65" s="31" t="n">
        <v>3</v>
      </c>
      <c r="R65" s="31" t="n">
        <v>6</v>
      </c>
      <c r="S65" s="31" t="n">
        <v>8</v>
      </c>
      <c r="T65" s="31" t="n">
        <v>4</v>
      </c>
      <c r="U65" s="26">
        <f>COUNTIF(SKU明细!D3:D607,B65)</f>
        <v>0.0</v>
      </c>
      <c r="V65" s="32" t="inlineStr">
        <is>
          <t>需求中等：「想要」人数中位数 3、有想要标签的在售占比 15/30，属于有搜索但竞争平缓的常规位；价格中等：全新竞品中位价 ¥26，主流带 ¥18–30，薄利走量，需控运损；竞争中等：Top30 中出现 2 个不同品牌，需要在主图和标题上做出差异；售后风险极低：非电器或耗材形态，基本无充电/质保/退货纠纷；宣称需克制：文案避免「治疗/根治/祛斑」等医疗功效词，用「清洁/护理/辅助」表述；🔥 自有品牌已在此品类跑通：Top30 竞品中有 7 条是康佳/奥克斯/夏新等自有品牌（占 23%），买家已有认知与搜索基础，上架即有流量基础，试错成本最低；新手友好：商品好描述、体积小发货轻、决策快，适合铺量上架</t>
        </is>
      </c>
      <c r="W65" s="32" t="inlineStr">
        <is>
          <t>常规备选，放在长尾分类；用低价冲量，不单独投流</t>
        </is>
      </c>
    </row>
    <row r="66" ht="58" customHeight="1">
      <c r="A66" s="25" t="n">
        <v>64</v>
      </c>
      <c r="B66" s="26" t="inlineStr">
        <is>
          <t>冰点脱毛仪</t>
        </is>
      </c>
      <c r="C66" s="35" t="inlineStr">
        <is>
          <t>B</t>
        </is>
      </c>
      <c r="D66" s="28" t="n">
        <v>5.76</v>
      </c>
      <c r="E66" s="29" t="n">
        <v>29</v>
      </c>
      <c r="F66" s="29" t="n">
        <v>12</v>
      </c>
      <c r="G66" s="25" t="inlineStr">
        <is>
          <t>¥3–22</t>
        </is>
      </c>
      <c r="H66" s="29" t="n">
        <v>3</v>
      </c>
      <c r="I66" s="29" t="n">
        <v>15</v>
      </c>
      <c r="J66" s="29" t="n">
        <v>195</v>
      </c>
      <c r="K66" s="25" t="n">
        <v>26</v>
      </c>
      <c r="L66" s="25" t="n">
        <v>30</v>
      </c>
      <c r="M66" s="30" t="n">
        <v>0.3</v>
      </c>
      <c r="N66" s="31" t="n">
        <v>6.6</v>
      </c>
      <c r="O66" s="31" t="n">
        <v>6.8</v>
      </c>
      <c r="P66" s="31" t="n">
        <v>6.6</v>
      </c>
      <c r="Q66" s="31" t="n">
        <v>4</v>
      </c>
      <c r="R66" s="31" t="n">
        <v>1</v>
      </c>
      <c r="S66" s="31" t="n">
        <v>6</v>
      </c>
      <c r="T66" s="31" t="n">
        <v>4</v>
      </c>
      <c r="U66" s="26">
        <f>COUNTIF(SKU明细!D3:D607,B66)</f>
        <v>2.0</v>
      </c>
      <c r="V66" s="32" t="inlineStr">
        <is>
          <t>需求中等：「想要」人数中位数 26、有想要标签的在售占比 16/30，属于有搜索但竞争平缓的常规位；价格中等：全新竞品中位价 ¥29，主流带 ¥15–195，薄利走量，需控运损；竞争中等：Top30 中出现 1 个不同品牌，需要在主图和标题上做出差异；售后风险极低：非电器或耗材形态，基本无充电/质保/退货纠纷；无资质门槛：上架无特殊资质要求，标题可自由发挥；该品类样本中未见自有品牌在售，属空白位——无内卷，但也需教育市场成本</t>
        </is>
      </c>
      <c r="W66" s="32" t="inlineStr">
        <is>
          <t>常规备选，放在长尾分类；用低价冲量，不单独投流</t>
        </is>
      </c>
    </row>
    <row r="67" ht="58" customHeight="1">
      <c r="A67" s="25" t="n">
        <v>65</v>
      </c>
      <c r="B67" s="26" t="inlineStr">
        <is>
          <t>电动拖把</t>
        </is>
      </c>
      <c r="C67" s="35" t="inlineStr">
        <is>
          <t>B</t>
        </is>
      </c>
      <c r="D67" s="28" t="n">
        <v>5.76</v>
      </c>
      <c r="E67" s="29" t="n">
        <v>76</v>
      </c>
      <c r="F67" s="29" t="n">
        <v>60</v>
      </c>
      <c r="G67" s="25" t="inlineStr">
        <is>
          <t>¥50–70</t>
        </is>
      </c>
      <c r="H67" s="29" t="n">
        <v>48</v>
      </c>
      <c r="I67" s="29" t="n">
        <v>68</v>
      </c>
      <c r="J67" s="29" t="n">
        <v>99</v>
      </c>
      <c r="K67" s="25" t="n">
        <v>4</v>
      </c>
      <c r="L67" s="25" t="n">
        <v>30</v>
      </c>
      <c r="M67" s="30" t="n">
        <v>0.3</v>
      </c>
      <c r="N67" s="31" t="n">
        <v>2.8</v>
      </c>
      <c r="O67" s="31" t="n">
        <v>8.699999999999999</v>
      </c>
      <c r="P67" s="31" t="n">
        <v>6.8</v>
      </c>
      <c r="Q67" s="31" t="n">
        <v>2</v>
      </c>
      <c r="R67" s="31" t="n">
        <v>9</v>
      </c>
      <c r="S67" s="31" t="n">
        <v>6</v>
      </c>
      <c r="T67" s="31" t="n">
        <v>5</v>
      </c>
      <c r="U67" s="26">
        <f>COUNTIF(SKU明细!D3:D607,B67)</f>
        <v>0.0</v>
      </c>
      <c r="V67" s="32" t="inlineStr">
        <is>
          <t>需求中等：「想要」人数中位数 4、有想要标签的在售占比 11/30，属于有搜索但竞争平缓的常规位；单件利润空间可观：全新竞品中位价 ¥76，P25–P75 主流带 ¥68–99，有腾挪定价空间；竞争中等：Top30 中出现 3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</t>
        </is>
      </c>
      <c r="W67" s="32" t="inlineStr">
        <is>
          <t>常规备选，放在长尾分类；用低价冲量，不单独投流</t>
        </is>
      </c>
    </row>
    <row r="68" ht="58" customHeight="1">
      <c r="A68" s="25" t="n">
        <v>66</v>
      </c>
      <c r="B68" s="26" t="inlineStr">
        <is>
          <t>按摩枕</t>
        </is>
      </c>
      <c r="C68" s="35" t="inlineStr">
        <is>
          <t>B</t>
        </is>
      </c>
      <c r="D68" s="28" t="n">
        <v>5.74</v>
      </c>
      <c r="E68" s="29" t="n">
        <v>50</v>
      </c>
      <c r="F68" s="29" t="n">
        <v>22</v>
      </c>
      <c r="G68" s="25" t="inlineStr">
        <is>
          <t>¥17–26</t>
        </is>
      </c>
      <c r="H68" s="29" t="n">
        <v>16</v>
      </c>
      <c r="I68" s="29" t="n">
        <v>28</v>
      </c>
      <c r="J68" s="29" t="n">
        <v>60</v>
      </c>
      <c r="K68" s="25" t="n">
        <v>2</v>
      </c>
      <c r="L68" s="25" t="n">
        <v>30</v>
      </c>
      <c r="M68" s="30" t="n">
        <v>0.7</v>
      </c>
      <c r="N68" s="31" t="n">
        <v>1.9</v>
      </c>
      <c r="O68" s="31" t="n">
        <v>7.6</v>
      </c>
      <c r="P68" s="31" t="n">
        <v>6.9</v>
      </c>
      <c r="Q68" s="31" t="n">
        <v>3</v>
      </c>
      <c r="R68" s="31" t="n">
        <v>8</v>
      </c>
      <c r="S68" s="31" t="n">
        <v>7</v>
      </c>
      <c r="T68" s="31" t="n">
        <v>3</v>
      </c>
      <c r="U68" s="26">
        <f>COUNTIF(SKU明细!D3:D607,B68)</f>
        <v>2.0</v>
      </c>
      <c r="V68" s="32" t="inlineStr">
        <is>
          <t>需求中等：「想要」人数中位数 2、有想要标签的在售占比 7/30，属于有搜索但竞争平缓的常规位；单件利润空间可观：全新竞品中位价 ¥50，P25–P75 主流带 ¥28–60，有腾挪定价空间；竞争中等：Top30 中出现 2 个不同品牌，需要在主图和标题上做出差异；售后风险极低：非电器或耗材形态，基本无充电/质保/退货纠纷；⚠️ 合规强监管：属强资质敏感品类，资质/标签/宣称任一不合规即触发下架或扣分；🔥 自有品牌已在此品类跑通：Top30 竞品中有 13 条是康佳/奥克斯/夏新等自有品牌（占 43%），买家已有认知与搜索基础，上架即有流量基础，试错成本最低</t>
        </is>
      </c>
      <c r="W68" s="32" t="inlineStr">
        <is>
          <t>常规备选，放在长尾分类；用低价冲量，不单独投流</t>
        </is>
      </c>
    </row>
    <row r="69" ht="58" customHeight="1">
      <c r="A69" s="25" t="n">
        <v>67</v>
      </c>
      <c r="B69" s="26" t="inlineStr">
        <is>
          <t>每日悬灸</t>
        </is>
      </c>
      <c r="C69" s="35" t="inlineStr">
        <is>
          <t>B</t>
        </is>
      </c>
      <c r="D69" s="28" t="n">
        <v>5.63</v>
      </c>
      <c r="E69" s="29" t="n">
        <v>19</v>
      </c>
      <c r="F69" s="29" t="n">
        <v>12</v>
      </c>
      <c r="G69" s="25" t="inlineStr">
        <is>
          <t>¥9–15</t>
        </is>
      </c>
      <c r="H69" s="29" t="n">
        <v>9</v>
      </c>
      <c r="I69" s="29" t="n">
        <v>12</v>
      </c>
      <c r="J69" s="29" t="n">
        <v>26</v>
      </c>
      <c r="K69" s="25" t="n">
        <v>16</v>
      </c>
      <c r="L69" s="25" t="n">
        <v>30</v>
      </c>
      <c r="M69" s="30" t="n">
        <v>0.8</v>
      </c>
      <c r="N69" s="31" t="n">
        <v>5</v>
      </c>
      <c r="O69" s="31" t="n">
        <v>6</v>
      </c>
      <c r="P69" s="31" t="n">
        <v>6.8</v>
      </c>
      <c r="Q69" s="31" t="n">
        <v>4</v>
      </c>
      <c r="R69" s="31" t="n">
        <v>3</v>
      </c>
      <c r="S69" s="31" t="n">
        <v>8</v>
      </c>
      <c r="T69" s="31" t="n">
        <v>7</v>
      </c>
      <c r="U69" s="26">
        <f>COUNTIF(SKU明细!D3:D607,B69)</f>
        <v>1.0</v>
      </c>
      <c r="V69" s="32" t="inlineStr">
        <is>
          <t>需求中等：「想要」人数中位数 16、有想要标签的在售占比 11/30，属于有搜索但竞争平缓的常规位；价格中等：全新竞品中位价 ¥19，主流带 ¥12–26，薄利走量，需控运损；竞争中等：Top30 中出现 1 个不同品牌，需要在主图和标题上做出差异；售后风险极低：非电器或耗材形态，基本无充电/质保/退货纠纷；无资质门槛：上架无特殊资质要求，标题可自由发挥；有一定复购：刀头/磨头/袋装等配套件可带动二次成交；新手友好：商品好描述、体积小发货轻、决策快，适合铺量上架</t>
        </is>
      </c>
      <c r="W69" s="32" t="inlineStr">
        <is>
          <t>常规备选，放在长尾分类；用低价冲量，不单独投流</t>
        </is>
      </c>
    </row>
    <row r="70" ht="58" customHeight="1">
      <c r="A70" s="25" t="n">
        <v>68</v>
      </c>
      <c r="B70" s="26" t="inlineStr">
        <is>
          <t>驱蚊手环</t>
        </is>
      </c>
      <c r="C70" s="35" t="inlineStr">
        <is>
          <t>B</t>
        </is>
      </c>
      <c r="D70" s="28" t="n">
        <v>5.6</v>
      </c>
      <c r="E70" s="29" t="n">
        <v>17</v>
      </c>
      <c r="F70" s="29" t="n">
        <v>10</v>
      </c>
      <c r="G70" s="25" t="inlineStr">
        <is>
          <t>¥9–10</t>
        </is>
      </c>
      <c r="H70" s="29" t="n">
        <v>9</v>
      </c>
      <c r="I70" s="29" t="n">
        <v>9</v>
      </c>
      <c r="J70" s="29" t="n">
        <v>19</v>
      </c>
      <c r="K70" s="25" t="n">
        <v>6</v>
      </c>
      <c r="L70" s="25" t="n">
        <v>30</v>
      </c>
      <c r="M70" s="30" t="n">
        <v>0.5</v>
      </c>
      <c r="N70" s="31" t="n">
        <v>3.4</v>
      </c>
      <c r="O70" s="31" t="n">
        <v>5.8</v>
      </c>
      <c r="P70" s="31" t="n">
        <v>6.8</v>
      </c>
      <c r="Q70" s="31" t="n">
        <v>6</v>
      </c>
      <c r="R70" s="31" t="n">
        <v>7</v>
      </c>
      <c r="S70" s="31" t="n">
        <v>9</v>
      </c>
      <c r="T70" s="31" t="n">
        <v>5</v>
      </c>
      <c r="U70" s="26">
        <f>COUNTIF(SKU明细!D3:D607,B70)</f>
        <v>2.0</v>
      </c>
      <c r="V70" s="32" t="inlineStr">
        <is>
          <t>需求中等：「想要」人数中位数 6、有想要标签的在售占比 11/30，属于有搜索但竞争平缓的常规位；价格中等：全新竞品中位价 ¥17，主流带 ¥9–19，薄利走量，需控运损；竞争中等：Top30 中出现 0 个不同品牌，需要在主图和标题上做出差异；售后可控：常规小家电，做好成色描述与功能实测视频即可；⚠️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70" s="32" t="inlineStr">
        <is>
          <t>常规备选，放在长尾分类；用低价冲量，不单独投流</t>
        </is>
      </c>
    </row>
    <row r="71" ht="58" customHeight="1">
      <c r="A71" s="25" t="n">
        <v>69</v>
      </c>
      <c r="B71" s="26" t="inlineStr">
        <is>
          <t>理发器</t>
        </is>
      </c>
      <c r="C71" s="35" t="inlineStr">
        <is>
          <t>B</t>
        </is>
      </c>
      <c r="D71" s="28" t="n">
        <v>5.59</v>
      </c>
      <c r="E71" s="29" t="n">
        <v>38</v>
      </c>
      <c r="F71" s="29" t="n">
        <v>22</v>
      </c>
      <c r="G71" s="25" t="inlineStr">
        <is>
          <t>¥19–25</t>
        </is>
      </c>
      <c r="H71" s="29" t="n">
        <v>18</v>
      </c>
      <c r="I71" s="29" t="n">
        <v>25</v>
      </c>
      <c r="J71" s="29" t="n">
        <v>44</v>
      </c>
      <c r="K71" s="25" t="n">
        <v>4</v>
      </c>
      <c r="L71" s="25" t="n">
        <v>60</v>
      </c>
      <c r="M71" s="30" t="n">
        <v>0.67</v>
      </c>
      <c r="N71" s="31" t="n">
        <v>3.6</v>
      </c>
      <c r="O71" s="31" t="n">
        <v>7.3</v>
      </c>
      <c r="P71" s="31" t="n">
        <v>3.6</v>
      </c>
      <c r="Q71" s="31" t="n">
        <v>2</v>
      </c>
      <c r="R71" s="31" t="n">
        <v>10</v>
      </c>
      <c r="S71" s="31" t="n">
        <v>8</v>
      </c>
      <c r="T71" s="31" t="n">
        <v>5</v>
      </c>
      <c r="U71" s="26">
        <f>COUNTIF(SKU明细!D3:D607,B71)</f>
        <v>26.0</v>
      </c>
      <c r="V71" s="32" t="inlineStr">
        <is>
          <t>需求中等：「想要」人数中位数 4、有想要标签的在售占比 21/30，属于有搜索但竞争平缓的常规位；单件利润空间可观：全新竞品中位价 ¥38，P25–P75 主流带 ¥25–44，有腾挪定价空间；竞争激烈：Top30 里已挤进 6 个品牌，头部品牌已形成价格锚定，正面硬拼不划算；售后风险极低：非电器或耗材形态，基本无充电/质保/退货纠纷；⚠️ 合规强监管：属强资质敏感品类，资质/标签/宣称任一不合规即触发下架或扣分；有一定复购：刀头/磨头/袋装等配套件可带动二次成交；自有品牌在该品类已有零星在售（5 条，占 8%），说明存在成交但尚未形成压倒性优势，适合抢占头部位置；新手友好：商品好描述、体积小发货轻、决策快，适合铺量上架</t>
        </is>
      </c>
      <c r="W71" s="32" t="inlineStr">
        <is>
          <t>常规备选，放在长尾分类；用低价冲量，不单独投流</t>
        </is>
      </c>
    </row>
    <row r="72" ht="58" customHeight="1">
      <c r="A72" s="25" t="n">
        <v>70</v>
      </c>
      <c r="B72" s="26" t="inlineStr">
        <is>
          <t>黑头仪</t>
        </is>
      </c>
      <c r="C72" s="35" t="inlineStr">
        <is>
          <t>B</t>
        </is>
      </c>
      <c r="D72" s="28" t="n">
        <v>5.55</v>
      </c>
      <c r="E72" s="29" t="n">
        <v>36</v>
      </c>
      <c r="F72" s="29" t="n">
        <v>22</v>
      </c>
      <c r="G72" s="25" t="inlineStr">
        <is>
          <t>¥17–27</t>
        </is>
      </c>
      <c r="H72" s="29" t="n">
        <v>16</v>
      </c>
      <c r="I72" s="29" t="n">
        <v>19</v>
      </c>
      <c r="J72" s="29" t="n">
        <v>39</v>
      </c>
      <c r="K72" s="25" t="n">
        <v>2.5</v>
      </c>
      <c r="L72" s="25" t="n">
        <v>30</v>
      </c>
      <c r="M72" s="30" t="n">
        <v>0.57</v>
      </c>
      <c r="N72" s="31" t="n">
        <v>2.2</v>
      </c>
      <c r="O72" s="31" t="n">
        <v>7</v>
      </c>
      <c r="P72" s="31" t="n">
        <v>6.7</v>
      </c>
      <c r="Q72" s="31" t="n">
        <v>4</v>
      </c>
      <c r="R72" s="31" t="n">
        <v>4</v>
      </c>
      <c r="S72" s="31" t="n">
        <v>8</v>
      </c>
      <c r="T72" s="31" t="n">
        <v>4</v>
      </c>
      <c r="U72" s="26">
        <f>COUNTIF(SKU明细!D3:D607,B72)</f>
        <v>5.0</v>
      </c>
      <c r="V72" s="32" t="inlineStr">
        <is>
          <t>需求中等：「想要」人数中位数 2、有想要标签的在售占比 12/30，属于有搜索但竞争平缓的常规位；单件利润空间可观：全新竞品中位价 ¥36，P25–P75 主流带 ¥19–39，有腾挪定价空间；竞争中等：Top30 中出现 3 个不同品牌，需要在主图和标题上做出差异；售后风险极低：非电器或耗材形态，基本无充电/质保/退货纠纷；宣称需克制：文案避免「治疗/根治/祛斑」等医疗功效词，用「清洁/护理/辅助」表述；🔥 自有品牌已在此品类跑通：Top30 竞品中有 16 条是康佳/奥克斯/夏新等自有品牌（占 53%），买家已有认知与搜索基础，上架即有流量基础，试错成本最低；新手友好：商品好描述、体积小发货轻、决策快，适合铺量上架</t>
        </is>
      </c>
      <c r="W72" s="32" t="inlineStr">
        <is>
          <t>常规备选，放在长尾分类；用低价冲量，不单独投流</t>
        </is>
      </c>
    </row>
    <row r="73" ht="58" customHeight="1">
      <c r="A73" s="25" t="n">
        <v>71</v>
      </c>
      <c r="B73" s="26" t="inlineStr">
        <is>
          <t>洗眼液</t>
        </is>
      </c>
      <c r="C73" s="35" t="inlineStr">
        <is>
          <t>B</t>
        </is>
      </c>
      <c r="D73" s="28" t="n">
        <v>5.54</v>
      </c>
      <c r="E73" s="29" t="n">
        <v>18</v>
      </c>
      <c r="F73" s="29" t="n">
        <v>12</v>
      </c>
      <c r="G73" s="25" t="inlineStr">
        <is>
          <t>¥10–13</t>
        </is>
      </c>
      <c r="H73" s="29" t="n">
        <v>10</v>
      </c>
      <c r="I73" s="29" t="n">
        <v>13</v>
      </c>
      <c r="J73" s="29" t="n">
        <v>25</v>
      </c>
      <c r="K73" s="25" t="n">
        <v>18.5</v>
      </c>
      <c r="L73" s="25" t="n">
        <v>30</v>
      </c>
      <c r="M73" s="30" t="n">
        <v>0.8</v>
      </c>
      <c r="N73" s="31" t="n">
        <v>5.2</v>
      </c>
      <c r="O73" s="31" t="n">
        <v>5.9</v>
      </c>
      <c r="P73" s="31" t="n">
        <v>6.8</v>
      </c>
      <c r="Q73" s="31" t="n">
        <v>5</v>
      </c>
      <c r="R73" s="31" t="n">
        <v>1</v>
      </c>
      <c r="S73" s="31" t="n">
        <v>8</v>
      </c>
      <c r="T73" s="31" t="n">
        <v>8</v>
      </c>
      <c r="U73" s="26">
        <f>COUNTIF(SKU明细!D3:D607,B73)</f>
        <v>1.0</v>
      </c>
      <c r="V73" s="32" t="inlineStr">
        <is>
          <t>需求中等：「想要」人数中位数 18、有想要标签的在售占比 10/30，属于有搜索但竞争平缓的常规位；价格中等：全新竞品中位价 ¥18，主流带 ¥13–25，薄利走量，需控运损；竞争中等：Top30 中出现 0 个不同品牌，需要在主图和标题上做出差异；售后可控：常规小家电，做好成色描述与功能实测视频即可；无资质门槛：上架无特殊资质要求，标题可自由发挥；耗材属性强：可与主机绑定做「主品+耗材」复购套餐，锁定回头客；该品类样本中未见自有品牌在售，属空白位——无内卷，但也需教育市场成本；新手友好：商品好描述、体积小发货轻、决策快，适合铺量上架</t>
        </is>
      </c>
      <c r="W73" s="32" t="inlineStr">
        <is>
          <t>常规备选，放在长尾分类；用低价冲量，不单独投流</t>
        </is>
      </c>
    </row>
    <row r="74" ht="58" customHeight="1">
      <c r="A74" s="25" t="n">
        <v>72</v>
      </c>
      <c r="B74" s="26" t="inlineStr">
        <is>
          <t>多功能电动磨甲器</t>
        </is>
      </c>
      <c r="C74" s="35" t="inlineStr">
        <is>
          <t>B</t>
        </is>
      </c>
      <c r="D74" s="28" t="n">
        <v>5.51</v>
      </c>
      <c r="E74" s="29" t="n">
        <v>23</v>
      </c>
      <c r="F74" s="29" t="n">
        <v>12</v>
      </c>
      <c r="G74" s="25" t="inlineStr">
        <is>
          <t>¥9–15</t>
        </is>
      </c>
      <c r="H74" s="29" t="n">
        <v>9</v>
      </c>
      <c r="I74" s="29" t="n">
        <v>13</v>
      </c>
      <c r="J74" s="29" t="n">
        <v>28</v>
      </c>
      <c r="K74" s="25" t="n">
        <v>6</v>
      </c>
      <c r="L74" s="25" t="n">
        <v>30</v>
      </c>
      <c r="M74" s="30" t="n">
        <v>0.63</v>
      </c>
      <c r="N74" s="31" t="n">
        <v>3.4</v>
      </c>
      <c r="O74" s="31" t="n">
        <v>6.3</v>
      </c>
      <c r="P74" s="31" t="n">
        <v>6.9</v>
      </c>
      <c r="Q74" s="31" t="n">
        <v>2</v>
      </c>
      <c r="R74" s="31" t="n">
        <v>10</v>
      </c>
      <c r="S74" s="31" t="n">
        <v>8</v>
      </c>
      <c r="T74" s="31" t="n">
        <v>5</v>
      </c>
      <c r="U74" s="26">
        <f>COUNTIF(SKU明细!D3:D607,B74)</f>
        <v>0.0</v>
      </c>
      <c r="V74" s="32" t="inlineStr">
        <is>
          <t>需求中等：「想要」人数中位数 6、有想要标签的在售占比 8/30，属于有搜索但竞争平缓的常规位；价格中等：全新竞品中位价 ¥23，主流带 ¥13–28，薄利走量，需控运损；竞争中等：Top30 中出现 0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74" s="32" t="inlineStr">
        <is>
          <t>常规备选，放在长尾分类；用低价冲量，不单独投流</t>
        </is>
      </c>
    </row>
    <row r="75" ht="58" customHeight="1">
      <c r="A75" s="25" t="n">
        <v>73</v>
      </c>
      <c r="B75" s="26" t="inlineStr">
        <is>
          <t>婴儿理发器</t>
        </is>
      </c>
      <c r="C75" s="35" t="inlineStr">
        <is>
          <t>B</t>
        </is>
      </c>
      <c r="D75" s="28" t="n">
        <v>5.51</v>
      </c>
      <c r="E75" s="29" t="n">
        <v>40</v>
      </c>
      <c r="F75" s="29" t="n">
        <v>28</v>
      </c>
      <c r="G75" s="25" t="inlineStr">
        <is>
          <t>¥23–34</t>
        </is>
      </c>
      <c r="H75" s="29" t="n">
        <v>22</v>
      </c>
      <c r="I75" s="29" t="n">
        <v>35</v>
      </c>
      <c r="J75" s="29" t="n">
        <v>49</v>
      </c>
      <c r="K75" s="25" t="n">
        <v>2</v>
      </c>
      <c r="L75" s="25" t="n">
        <v>30</v>
      </c>
      <c r="M75" s="30" t="n">
        <v>0.63</v>
      </c>
      <c r="N75" s="31" t="n">
        <v>1.9</v>
      </c>
      <c r="O75" s="31" t="n">
        <v>7.4</v>
      </c>
      <c r="P75" s="31" t="n">
        <v>6.8</v>
      </c>
      <c r="Q75" s="31" t="n">
        <v>3</v>
      </c>
      <c r="R75" s="31" t="n">
        <v>10</v>
      </c>
      <c r="S75" s="31" t="n">
        <v>8</v>
      </c>
      <c r="T75" s="31" t="n">
        <v>4</v>
      </c>
      <c r="U75" s="26">
        <f>COUNTIF(SKU明细!D3:D607,B75)</f>
        <v>0.0</v>
      </c>
      <c r="V75" s="32" t="inlineStr">
        <is>
          <t>需求中等：「想要」人数中位数 2、有想要标签的在售占比 11/30，属于有搜索但竞争平缓的常规位；单件利润空间可观：全新竞品中位价 ¥40，P25–P75 主流带 ¥35–49，有腾挪定价空间；竞争中等：Top30 中出现 1 个不同品牌，需要在主图和标题上做出差异；售后风险极低：非电器或耗材形态，基本无充电/质保/退货纠纷；⚠️ 合规强监管：属强资质敏感品类，资质/标签/宣称任一不合规即触发下架或扣分；该品类样本中未见自有品牌在售，属空白位——无内卷，但也需教育市场成本；新手友好：商品好描述、体积小发货轻、决策快，适合铺量上架</t>
        </is>
      </c>
      <c r="W75" s="32" t="inlineStr">
        <is>
          <t>常规备选，放在长尾分类；用低价冲量，不单独投流</t>
        </is>
      </c>
    </row>
    <row r="76" ht="58" customHeight="1">
      <c r="A76" s="25" t="n">
        <v>74</v>
      </c>
      <c r="B76" s="26" t="inlineStr">
        <is>
          <t>女士剃毛器</t>
        </is>
      </c>
      <c r="C76" s="35" t="inlineStr">
        <is>
          <t>B</t>
        </is>
      </c>
      <c r="D76" s="28" t="n">
        <v>5.5</v>
      </c>
      <c r="E76" s="29" t="n">
        <v>20</v>
      </c>
      <c r="F76" s="29" t="n">
        <v>16</v>
      </c>
      <c r="G76" s="25" t="inlineStr">
        <is>
          <t>¥15–16</t>
        </is>
      </c>
      <c r="H76" s="29" t="n">
        <v>14</v>
      </c>
      <c r="I76" s="29" t="n">
        <v>15</v>
      </c>
      <c r="J76" s="29" t="n">
        <v>23</v>
      </c>
      <c r="K76" s="25" t="n">
        <v>2</v>
      </c>
      <c r="L76" s="25" t="n">
        <v>30</v>
      </c>
      <c r="M76" s="30" t="n">
        <v>0.7</v>
      </c>
      <c r="N76" s="31" t="n">
        <v>1.9</v>
      </c>
      <c r="O76" s="31" t="n">
        <v>6.1</v>
      </c>
      <c r="P76" s="31" t="n">
        <v>6.8</v>
      </c>
      <c r="Q76" s="31" t="n">
        <v>2</v>
      </c>
      <c r="R76" s="31" t="n">
        <v>10</v>
      </c>
      <c r="S76" s="31" t="n">
        <v>8</v>
      </c>
      <c r="T76" s="31" t="n">
        <v>4</v>
      </c>
      <c r="U76" s="26">
        <f>COUNTIF(SKU明细!D3:D607,B76)</f>
        <v>0.0</v>
      </c>
      <c r="V76" s="32" t="inlineStr">
        <is>
          <t>需求中等：「想要」人数中位数 2、有想要标签的在售占比 10/30，属于有搜索但竞争平缓的常规位；价格中等：全新竞品中位价 ¥20，主流带 ¥15–23，薄利走量，需控运损；竞争中等：Top30 中出现 4 个不同品牌，需要在主图和标题上做出差异；售后风险极低：非电器或耗材形态，基本无充电/质保/退货纠纷；⚠️ 合规强监管：属强资质敏感品类，资质/标签/宣称任一不合规即触发下架或扣分；🔥 自有品牌已在此品类跑通：Top30 竞品中有 9 条是康佳/奥克斯/夏新等自有品牌（占 30%），买家已有认知与搜索基础，上架即有流量基础，试错成本最低；新手友好：商品好描述、体积小发货轻、决策快，适合铺量上架</t>
        </is>
      </c>
      <c r="W76" s="32" t="inlineStr">
        <is>
          <t>常规备选，放在长尾分类；用低价冲量，不单独投流</t>
        </is>
      </c>
    </row>
    <row r="77" ht="58" customHeight="1">
      <c r="A77" s="25" t="n">
        <v>75</v>
      </c>
      <c r="B77" s="26" t="inlineStr">
        <is>
          <t>鼻毛修剪器</t>
        </is>
      </c>
      <c r="C77" s="35" t="inlineStr">
        <is>
          <t>B</t>
        </is>
      </c>
      <c r="D77" s="28" t="n">
        <v>5.49</v>
      </c>
      <c r="E77" s="29" t="n">
        <v>15</v>
      </c>
      <c r="F77" s="29" t="n">
        <v>12</v>
      </c>
      <c r="G77" s="25" t="inlineStr">
        <is>
          <t>¥10–15</t>
        </is>
      </c>
      <c r="H77" s="29" t="n">
        <v>10</v>
      </c>
      <c r="I77" s="29" t="n">
        <v>14</v>
      </c>
      <c r="J77" s="29" t="n">
        <v>20</v>
      </c>
      <c r="K77" s="25" t="n">
        <v>2</v>
      </c>
      <c r="L77" s="25" t="n">
        <v>30</v>
      </c>
      <c r="M77" s="30" t="n">
        <v>0.77</v>
      </c>
      <c r="N77" s="31" t="n">
        <v>1.9</v>
      </c>
      <c r="O77" s="31" t="n">
        <v>5.5</v>
      </c>
      <c r="P77" s="31" t="n">
        <v>6.8</v>
      </c>
      <c r="Q77" s="31" t="n">
        <v>2</v>
      </c>
      <c r="R77" s="31" t="n">
        <v>10</v>
      </c>
      <c r="S77" s="31" t="n">
        <v>9</v>
      </c>
      <c r="T77" s="31" t="n">
        <v>4</v>
      </c>
      <c r="U77" s="26">
        <f>COUNTIF(SKU明细!D3:D607,B77)</f>
        <v>43.0</v>
      </c>
      <c r="V77" s="32" t="inlineStr">
        <is>
          <t>需求中等：「想要」人数中位数 2、有想要标签的在售占比 10/30，属于有搜索但竞争平缓的常规位；价格中等：全新竞品中位价 ¥15，主流带 ¥14–20，薄利走量，需控运损；竞争中等：Top30 中出现 5 个不同品牌，需要在主图和标题上做出差异；售后风险极低：非电器或耗材形态，基本无充电/质保/退货纠纷；⚠️ 合规强监管：属强资质敏感品类，资质/标签/宣称任一不合规即触发下架或扣分；自有品牌在该品类已有零星在售（3 条，占 10%），说明存在成交但尚未形成压倒性优势，适合抢占头部位置；新手友好：商品好描述、体积小发货轻、决策快，适合铺量上架</t>
        </is>
      </c>
      <c r="W77" s="32" t="inlineStr">
        <is>
          <t>常规备选，放在长尾分类；用低价冲量，不单独投流</t>
        </is>
      </c>
    </row>
    <row r="78" ht="58" customHeight="1">
      <c r="A78" s="25" t="n">
        <v>76</v>
      </c>
      <c r="B78" s="26" t="inlineStr">
        <is>
          <t>智能走罐按摩器</t>
        </is>
      </c>
      <c r="C78" s="35" t="inlineStr">
        <is>
          <t>B</t>
        </is>
      </c>
      <c r="D78" s="28" t="n">
        <v>5.48</v>
      </c>
      <c r="E78" s="29" t="n">
        <v>36</v>
      </c>
      <c r="F78" s="29" t="n">
        <v>24</v>
      </c>
      <c r="G78" s="25" t="inlineStr">
        <is>
          <t>¥18–29</t>
        </is>
      </c>
      <c r="H78" s="29" t="n">
        <v>17</v>
      </c>
      <c r="I78" s="29" t="n">
        <v>29</v>
      </c>
      <c r="J78" s="29" t="n">
        <v>59</v>
      </c>
      <c r="K78" s="25" t="n">
        <v>4</v>
      </c>
      <c r="L78" s="25" t="n">
        <v>30</v>
      </c>
      <c r="M78" s="30" t="n">
        <v>0.7</v>
      </c>
      <c r="N78" s="31" t="n">
        <v>2.8</v>
      </c>
      <c r="O78" s="31" t="n">
        <v>7.2</v>
      </c>
      <c r="P78" s="31" t="n">
        <v>6.8</v>
      </c>
      <c r="Q78" s="31" t="n">
        <v>3</v>
      </c>
      <c r="R78" s="31" t="n">
        <v>6</v>
      </c>
      <c r="S78" s="31" t="n">
        <v>7</v>
      </c>
      <c r="T78" s="31" t="n">
        <v>4</v>
      </c>
      <c r="U78" s="26">
        <f>COUNTIF(SKU明细!D3:D607,B78)</f>
        <v>2.0</v>
      </c>
      <c r="V78" s="32" t="inlineStr">
        <is>
          <t>需求中等：「想要」人数中位数 4、有想要标签的在售占比 10/30，属于有搜索但竞争平缓的常规位；单件利润空间可观：全新竞品中位价 ¥36，P25–P75 主流带 ¥29–59，有腾挪定价空间；竞争中等：Top30 中出现 4 个不同品牌，需要在主图和标题上做出差异；售后风险极低：非电器或耗材形态，基本无充电/质保/退货纠纷；宣称需克制：文案避免「治疗/根治/祛斑」等医疗功效词，用「清洁/护理/辅助」表述；自有品牌在该品类已有零星在售（2 条，占 7%），说明存在成交但尚未形成压倒性优势，适合抢占头部位置</t>
        </is>
      </c>
      <c r="W78" s="32" t="inlineStr">
        <is>
          <t>常规备选，放在长尾分类；用低价冲量，不单独投流</t>
        </is>
      </c>
    </row>
    <row r="79" ht="58" customHeight="1">
      <c r="A79" s="25" t="n">
        <v>77</v>
      </c>
      <c r="B79" s="26" t="inlineStr">
        <is>
          <t>筋膜按摩贴</t>
        </is>
      </c>
      <c r="C79" s="35" t="inlineStr">
        <is>
          <t>B</t>
        </is>
      </c>
      <c r="D79" s="28" t="n">
        <v>5.48</v>
      </c>
      <c r="E79" s="29" t="n">
        <v>25</v>
      </c>
      <c r="F79" s="29" t="n">
        <v>16</v>
      </c>
      <c r="G79" s="25" t="inlineStr">
        <is>
          <t>¥14–17</t>
        </is>
      </c>
      <c r="H79" s="29" t="n">
        <v>13</v>
      </c>
      <c r="I79" s="29" t="n">
        <v>18</v>
      </c>
      <c r="J79" s="29" t="n">
        <v>50</v>
      </c>
      <c r="K79" s="25" t="n">
        <v>12</v>
      </c>
      <c r="L79" s="25" t="n">
        <v>30</v>
      </c>
      <c r="M79" s="30" t="n">
        <v>0.73</v>
      </c>
      <c r="N79" s="31" t="n">
        <v>4.5</v>
      </c>
      <c r="O79" s="31" t="n">
        <v>6.4</v>
      </c>
      <c r="P79" s="31" t="n">
        <v>6.9</v>
      </c>
      <c r="Q79" s="31" t="n">
        <v>4</v>
      </c>
      <c r="R79" s="31" t="n">
        <v>4</v>
      </c>
      <c r="S79" s="31" t="n">
        <v>9</v>
      </c>
      <c r="T79" s="31" t="n">
        <v>3</v>
      </c>
      <c r="U79" s="26">
        <f>COUNTIF(SKU明细!D3:D607,B79)</f>
        <v>7.0</v>
      </c>
      <c r="V79" s="32" t="inlineStr">
        <is>
          <t>需求中等：「想要」人数中位数 12、有想要标签的在售占比 7/30，属于有搜索但竞争平缓的常规位；价格中等：全新竞品中位价 ¥25，主流带 ¥18–50，薄利走量，需控运损；竞争中等：Top30 中出现 2 个不同品牌，需要在主图和标题上做出差异；售后风险极低：非电器或耗材形态，基本无充电/质保/退货纠纷；宣称需克制：文案避免「治疗/根治/祛斑」等医疗功效词，用「清洁/护理/辅助」表述；该品类样本中未见自有品牌在售，属空白位——无内卷，但也需教育市场成本；新手友好：商品好描述、体积小发货轻、决策快，适合铺量上架</t>
        </is>
      </c>
      <c r="W79" s="32" t="inlineStr">
        <is>
          <t>常规备选，放在长尾分类；用低价冲量，不单独投流</t>
        </is>
      </c>
    </row>
    <row r="80" ht="58" customHeight="1">
      <c r="A80" s="25" t="n">
        <v>78</v>
      </c>
      <c r="B80" s="26" t="inlineStr">
        <is>
          <t>艾柱</t>
        </is>
      </c>
      <c r="C80" s="35" t="inlineStr">
        <is>
          <t>B</t>
        </is>
      </c>
      <c r="D80" s="28" t="n">
        <v>5.47</v>
      </c>
      <c r="E80" s="29" t="n">
        <v>18</v>
      </c>
      <c r="F80" s="29" t="n">
        <v>9</v>
      </c>
      <c r="G80" s="25" t="inlineStr">
        <is>
          <t>¥8–10</t>
        </is>
      </c>
      <c r="H80" s="29" t="n">
        <v>8</v>
      </c>
      <c r="I80" s="29" t="n">
        <v>9</v>
      </c>
      <c r="J80" s="29" t="n">
        <v>19</v>
      </c>
      <c r="K80" s="25" t="n">
        <v>7</v>
      </c>
      <c r="L80" s="25" t="n">
        <v>30</v>
      </c>
      <c r="M80" s="30" t="n">
        <v>0.5</v>
      </c>
      <c r="N80" s="31" t="n">
        <v>4.4</v>
      </c>
      <c r="O80" s="31" t="n">
        <v>5.9</v>
      </c>
      <c r="P80" s="31" t="n">
        <v>6.6</v>
      </c>
      <c r="Q80" s="31" t="n">
        <v>5</v>
      </c>
      <c r="R80" s="31" t="n">
        <v>3</v>
      </c>
      <c r="S80" s="31" t="n">
        <v>9</v>
      </c>
      <c r="T80" s="31" t="n">
        <v>8</v>
      </c>
      <c r="U80" s="26">
        <f>COUNTIF(SKU明细!D3:D607,B80)</f>
        <v>1.0</v>
      </c>
      <c r="V80" s="32" t="inlineStr">
        <is>
          <t>需求中等：「想要」人数中位数 7、有想要标签的在售占比 16/30，属于有搜索但竞争平缓的常规位；价格中等：全新竞品中位价 ¥18，主流带 ¥9–19，薄利走量，需控运损；竞争中等：Top30 中出现 0 个不同品牌，需要在主图和标题上做出差异；售后可控：常规小家电，做好成色描述与功能实测视频即可；无资质门槛：上架无特殊资质要求，标题可自由发挥；耗材属性强：可与主机绑定做「主品+耗材」复购套餐，锁定回头客；该品类样本中未见自有品牌在售，属空白位——无内卷，但也需教育市场成本；新手友好：商品好描述、体积小发货轻、决策快，适合铺量上架</t>
        </is>
      </c>
      <c r="W80" s="32" t="inlineStr">
        <is>
          <t>常规备选，放在长尾分类；用低价冲量，不单独投流</t>
        </is>
      </c>
    </row>
    <row r="81" ht="58" customHeight="1">
      <c r="A81" s="25" t="n">
        <v>79</v>
      </c>
      <c r="B81" s="26" t="inlineStr">
        <is>
          <t>芦荟胶</t>
        </is>
      </c>
      <c r="C81" s="35" t="inlineStr">
        <is>
          <t>B</t>
        </is>
      </c>
      <c r="D81" s="28" t="n">
        <v>5.43</v>
      </c>
      <c r="E81" s="29" t="n">
        <v>18</v>
      </c>
      <c r="F81" s="29" t="n">
        <v>11</v>
      </c>
      <c r="G81" s="25" t="inlineStr">
        <is>
          <t>¥7–15</t>
        </is>
      </c>
      <c r="H81" s="29" t="n">
        <v>7</v>
      </c>
      <c r="I81" s="29" t="n">
        <v>15</v>
      </c>
      <c r="J81" s="29" t="n">
        <v>19</v>
      </c>
      <c r="K81" s="25" t="n">
        <v>16</v>
      </c>
      <c r="L81" s="25" t="n">
        <v>30</v>
      </c>
      <c r="M81" s="30" t="n">
        <v>0.8</v>
      </c>
      <c r="N81" s="31" t="n">
        <v>5</v>
      </c>
      <c r="O81" s="31" t="n">
        <v>5.9</v>
      </c>
      <c r="P81" s="31" t="n">
        <v>6.7</v>
      </c>
      <c r="Q81" s="31" t="n">
        <v>5</v>
      </c>
      <c r="R81" s="31" t="n">
        <v>1</v>
      </c>
      <c r="S81" s="31" t="n">
        <v>9</v>
      </c>
      <c r="T81" s="31" t="n">
        <v>8</v>
      </c>
      <c r="U81" s="26">
        <f>COUNTIF(SKU明细!D3:D607,B81)</f>
        <v>1.0</v>
      </c>
      <c r="V81" s="32" t="inlineStr">
        <is>
          <t>需求中等：「想要」人数中位数 16、有想要标签的在售占比 13/30，属于有搜索但竞争平缓的常规位；价格中等：全新竞品中位价 ¥18，主流带 ¥15–19，薄利走量，需控运损；竞争中等：Top30 中出现 0 个不同品牌，需要在主图和标题上做出差异；售后可控：常规小家电，做好成色描述与功能实测视频即可；无资质门槛：上架无特殊资质要求，标题可自由发挥；耗材属性强：可与主机绑定做「主品+耗材」复购套餐，锁定回头客；该品类样本中未见自有品牌在售，属空白位——无内卷，但也需教育市场成本；新手友好：商品好描述、体积小发货轻、决策快，适合铺量上架</t>
        </is>
      </c>
      <c r="W81" s="32" t="inlineStr">
        <is>
          <t>常规备选，放在长尾分类；用低价冲量，不单独投流</t>
        </is>
      </c>
    </row>
    <row r="82" ht="58" customHeight="1">
      <c r="A82" s="25" t="n">
        <v>80</v>
      </c>
      <c r="B82" s="26" t="inlineStr">
        <is>
          <t>小风扇</t>
        </is>
      </c>
      <c r="C82" s="35" t="inlineStr">
        <is>
          <t>B</t>
        </is>
      </c>
      <c r="D82" s="28" t="n">
        <v>5.42</v>
      </c>
      <c r="E82" s="29" t="n">
        <v>9</v>
      </c>
      <c r="F82" s="29" t="n">
        <v>7</v>
      </c>
      <c r="G82" s="25" t="inlineStr">
        <is>
          <t>¥6–8</t>
        </is>
      </c>
      <c r="H82" s="29" t="n">
        <v>6</v>
      </c>
      <c r="I82" s="29" t="n">
        <v>8</v>
      </c>
      <c r="J82" s="29" t="n">
        <v>13</v>
      </c>
      <c r="K82" s="25" t="n">
        <v>10.5</v>
      </c>
      <c r="L82" s="25" t="n">
        <v>30</v>
      </c>
      <c r="M82" s="30" t="n">
        <v>0.7</v>
      </c>
      <c r="N82" s="31" t="n">
        <v>4.3</v>
      </c>
      <c r="O82" s="31" t="n">
        <v>4.6</v>
      </c>
      <c r="P82" s="31" t="n">
        <v>6.7</v>
      </c>
      <c r="Q82" s="31" t="n">
        <v>3</v>
      </c>
      <c r="R82" s="31" t="n">
        <v>10</v>
      </c>
      <c r="S82" s="31" t="n">
        <v>9</v>
      </c>
      <c r="T82" s="31" t="n">
        <v>4</v>
      </c>
      <c r="U82" s="26">
        <f>COUNTIF(SKU明细!D3:D607,B82)</f>
        <v>3.0</v>
      </c>
      <c r="V82" s="32" t="inlineStr">
        <is>
          <t>需求中等：「想要」人数中位数 10、有想要标签的在售占比 12/30，属于有搜索但竞争平缓的常规位；客单偏低：全新竞品中位价 ¥9，单件利润薄，必须靠走量或组合装摊薄运费；竞争中等：Top30 中出现 1 个不同品牌，需要在主图和标题上做出差异；售后风险极低：非电器或耗材形态，基本无充电/质保/退货纠纷；⚠️ 合规强监管：属强资质敏感品类，资质/标签/宣称任一不合规即触发下架或扣分；该品类样本中未见自有品牌在售，属空白位——无内卷，但也需教育市场成本；新手友好：商品好描述、体积小发货轻、决策快，适合铺量上架</t>
        </is>
      </c>
      <c r="W82" s="32" t="inlineStr">
        <is>
          <t>常规备选，放在长尾分类；用低价冲量，不单独投流</t>
        </is>
      </c>
    </row>
    <row r="83" ht="58" customHeight="1">
      <c r="A83" s="25" t="n">
        <v>81</v>
      </c>
      <c r="B83" s="26" t="inlineStr">
        <is>
          <t>除螨仪</t>
        </is>
      </c>
      <c r="C83" s="35" t="inlineStr">
        <is>
          <t>B</t>
        </is>
      </c>
      <c r="D83" s="28" t="n">
        <v>5.42</v>
      </c>
      <c r="E83" s="29" t="n">
        <v>75</v>
      </c>
      <c r="F83" s="29" t="n">
        <v>52</v>
      </c>
      <c r="G83" s="25" t="inlineStr">
        <is>
          <t>¥45–58</t>
        </is>
      </c>
      <c r="H83" s="29" t="n">
        <v>43</v>
      </c>
      <c r="I83" s="29" t="n">
        <v>58</v>
      </c>
      <c r="J83" s="29" t="n">
        <v>99</v>
      </c>
      <c r="K83" s="25" t="n">
        <v>3</v>
      </c>
      <c r="L83" s="25" t="n">
        <v>30</v>
      </c>
      <c r="M83" s="30" t="n">
        <v>0</v>
      </c>
      <c r="N83" s="31" t="n">
        <v>2.4</v>
      </c>
      <c r="O83" s="31" t="n">
        <v>8.6</v>
      </c>
      <c r="P83" s="31" t="n">
        <v>6.8</v>
      </c>
      <c r="Q83" s="31" t="n">
        <v>3</v>
      </c>
      <c r="R83" s="31" t="n">
        <v>6</v>
      </c>
      <c r="S83" s="31" t="n">
        <v>7</v>
      </c>
      <c r="T83" s="31" t="n">
        <v>4</v>
      </c>
      <c r="U83" s="26">
        <f>COUNTIF(SKU明细!D3:D607,B83)</f>
        <v>3.0</v>
      </c>
      <c r="V83" s="32" t="inlineStr">
        <is>
          <t>需求中等：「想要」人数中位数 3、有想要标签的在售占比 10/30，属于有搜索但竞争平缓的常规位；单件利润空间可观：全量竞品中位价 ¥75，P25–P75 主流带 ¥58–99，有腾挪定价空间；竞争中等：Top30 中出现 5 个不同品牌，需要在主图和标题上做出差异；售后风险极低：非电器或耗材形态，基本无充电/质保/退货纠纷；宣称需克制：文案避免「治疗/根治/祛斑」等医疗功效词，用「清洁/护理/辅助」表述；该品类样本中未见自有品牌在售，属空白位——无内卷，但也需教育市场成本</t>
        </is>
      </c>
      <c r="W83" s="32" t="inlineStr">
        <is>
          <t>常规备选，放在长尾分类；用低价冲量，不单独投流</t>
        </is>
      </c>
    </row>
    <row r="84" ht="58" customHeight="1">
      <c r="A84" s="25" t="n">
        <v>82</v>
      </c>
      <c r="B84" s="26" t="inlineStr">
        <is>
          <t>迷你拖把</t>
        </is>
      </c>
      <c r="C84" s="35" t="inlineStr">
        <is>
          <t>B</t>
        </is>
      </c>
      <c r="D84" s="28" t="n">
        <v>5.41</v>
      </c>
      <c r="E84" s="29" t="n">
        <v>16</v>
      </c>
      <c r="F84" s="29" t="n">
        <v>7</v>
      </c>
      <c r="G84" s="25" t="inlineStr">
        <is>
          <t>¥5–9</t>
        </is>
      </c>
      <c r="H84" s="29" t="n">
        <v>5</v>
      </c>
      <c r="I84" s="29" t="n">
        <v>7</v>
      </c>
      <c r="J84" s="29" t="n">
        <v>19</v>
      </c>
      <c r="K84" s="25" t="n">
        <v>7</v>
      </c>
      <c r="L84" s="25" t="n">
        <v>30</v>
      </c>
      <c r="M84" s="30" t="n">
        <v>0.53</v>
      </c>
      <c r="N84" s="31" t="n">
        <v>3.6</v>
      </c>
      <c r="O84" s="31" t="n">
        <v>5.7</v>
      </c>
      <c r="P84" s="31" t="n">
        <v>6.6</v>
      </c>
      <c r="Q84" s="31" t="n">
        <v>3</v>
      </c>
      <c r="R84" s="31" t="n">
        <v>10</v>
      </c>
      <c r="S84" s="31" t="n">
        <v>8</v>
      </c>
      <c r="T84" s="31" t="n">
        <v>5</v>
      </c>
      <c r="U84" s="26">
        <f>COUNTIF(SKU明细!D3:D607,B84)</f>
        <v>1.0</v>
      </c>
      <c r="V84" s="32" t="inlineStr">
        <is>
          <t>需求中等：「想要」人数中位数 7、有想要标签的在售占比 14/30，属于有搜索但竞争平缓的常规位；价格中等：全新竞品中位价 ¥16，主流带 ¥7–19，薄利走量，需控运损；竞争中等：Top30 中出现 2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84" s="32" t="inlineStr">
        <is>
          <t>常规备选，放在长尾分类；用低价冲量，不单独投流</t>
        </is>
      </c>
    </row>
    <row r="85" ht="58" customHeight="1">
      <c r="A85" s="25" t="n">
        <v>83</v>
      </c>
      <c r="B85" s="26" t="inlineStr">
        <is>
          <t>电动清洁刷</t>
        </is>
      </c>
      <c r="C85" s="36" t="inlineStr">
        <is>
          <t>C</t>
        </is>
      </c>
      <c r="D85" s="28" t="n">
        <v>5.35</v>
      </c>
      <c r="E85" s="29" t="n">
        <v>25</v>
      </c>
      <c r="F85" s="29" t="n">
        <v>14</v>
      </c>
      <c r="G85" s="25" t="inlineStr">
        <is>
          <t>¥12–16</t>
        </is>
      </c>
      <c r="H85" s="29" t="n">
        <v>11</v>
      </c>
      <c r="I85" s="29" t="n">
        <v>15</v>
      </c>
      <c r="J85" s="29" t="n">
        <v>50</v>
      </c>
      <c r="K85" s="25" t="n">
        <v>4</v>
      </c>
      <c r="L85" s="25" t="n">
        <v>30</v>
      </c>
      <c r="M85" s="30" t="n">
        <v>0.83</v>
      </c>
      <c r="N85" s="31" t="n">
        <v>2.8</v>
      </c>
      <c r="O85" s="31" t="n">
        <v>6.5</v>
      </c>
      <c r="P85" s="31" t="n">
        <v>6.7</v>
      </c>
      <c r="Q85" s="31" t="n">
        <v>2</v>
      </c>
      <c r="R85" s="31" t="n">
        <v>10</v>
      </c>
      <c r="S85" s="31" t="n">
        <v>8</v>
      </c>
      <c r="T85" s="31" t="n">
        <v>5</v>
      </c>
      <c r="U85" s="26">
        <f>COUNTIF(SKU明细!D3:D607,B85)</f>
        <v>1.0</v>
      </c>
      <c r="V85" s="32" t="inlineStr">
        <is>
          <t>需求偏冷：「想要」人数中位数仅 4，自然流量薄弱，靠搜索自然成交难度大，需搭配低价或搭售；价格中等：全新竞品中位价 ¥25，主流带 ¥15–50，薄利走量，需控运损；竞争中等：Top30 中出现 0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85" s="32" t="inlineStr">
        <is>
          <t>谨慎试水：少量上架测款，只有当月出单才补货；写清「瑕疵/为什么低价」</t>
        </is>
      </c>
    </row>
    <row r="86" ht="58" customHeight="1">
      <c r="A86" s="25" t="n">
        <v>84</v>
      </c>
      <c r="B86" s="26" t="inlineStr">
        <is>
          <t>电动剃毛器</t>
        </is>
      </c>
      <c r="C86" s="36" t="inlineStr">
        <is>
          <t>C</t>
        </is>
      </c>
      <c r="D86" s="28" t="n">
        <v>5.33</v>
      </c>
      <c r="E86" s="29" t="n">
        <v>27</v>
      </c>
      <c r="F86" s="29" t="n">
        <v>18</v>
      </c>
      <c r="G86" s="25" t="inlineStr">
        <is>
          <t>¥15–20</t>
        </is>
      </c>
      <c r="H86" s="29" t="n">
        <v>14</v>
      </c>
      <c r="I86" s="29" t="n">
        <v>19</v>
      </c>
      <c r="J86" s="29" t="n">
        <v>35</v>
      </c>
      <c r="K86" s="25" t="n">
        <v>2</v>
      </c>
      <c r="L86" s="25" t="n">
        <v>60</v>
      </c>
      <c r="M86" s="30" t="n">
        <v>0.77</v>
      </c>
      <c r="N86" s="31" t="n">
        <v>2.7</v>
      </c>
      <c r="O86" s="31" t="n">
        <v>6.7</v>
      </c>
      <c r="P86" s="31" t="n">
        <v>3.7</v>
      </c>
      <c r="Q86" s="31" t="n">
        <v>2</v>
      </c>
      <c r="R86" s="31" t="n">
        <v>10</v>
      </c>
      <c r="S86" s="31" t="n">
        <v>8</v>
      </c>
      <c r="T86" s="31" t="n">
        <v>4</v>
      </c>
      <c r="U86" s="26">
        <f>COUNTIF(SKU明细!D3:D607,B86)</f>
        <v>28.0</v>
      </c>
      <c r="V86" s="32" t="inlineStr">
        <is>
          <t>需求偏冷：「想要」人数中位数仅 2，自然流量薄弱，靠搜索自然成交难度大，需搭配低价或搭售；价格中等：全新竞品中位价 ¥27，主流带 ¥19–35，薄利走量，需控运损；竞争激烈：Top30 里已挤进 6 个品牌，头部品牌已形成价格锚定，正面硬拼不划算；售后风险极低：非电器或耗材形态，基本无充电/质保/退货纠纷；⚠️ 合规强监管：属强资质敏感品类，资质/标签/宣称任一不合规即触发下架或扣分；🔥 自有品牌已在此品类跑通：Top30 竞品中有 14 条是康佳/奥克斯/夏新等自有品牌（占 23%），买家已有认知与搜索基础，上架即有流量基础，试错成本最低；新手友好：商品好描述、体积小发货轻、决策快，适合铺量上架</t>
        </is>
      </c>
      <c r="W86" s="32" t="inlineStr">
        <is>
          <t>谨慎试水：少量上架测款，只有当月出单才补货；写清「瑕疵/为什么低价」</t>
        </is>
      </c>
    </row>
    <row r="87" ht="58" customHeight="1">
      <c r="A87" s="25" t="n">
        <v>85</v>
      </c>
      <c r="B87" s="26" t="inlineStr">
        <is>
          <t>美颈仪</t>
        </is>
      </c>
      <c r="C87" s="36" t="inlineStr">
        <is>
          <t>C</t>
        </is>
      </c>
      <c r="D87" s="28" t="n">
        <v>5.33</v>
      </c>
      <c r="E87" s="29" t="n">
        <v>254</v>
      </c>
      <c r="F87" s="29" t="n">
        <v>188</v>
      </c>
      <c r="G87" s="25" t="inlineStr">
        <is>
          <t>¥187–189</t>
        </is>
      </c>
      <c r="H87" s="29" t="n">
        <v>178</v>
      </c>
      <c r="I87" s="29" t="n">
        <v>220</v>
      </c>
      <c r="J87" s="29" t="n">
        <v>299</v>
      </c>
      <c r="K87" s="25" t="n">
        <v>1</v>
      </c>
      <c r="L87" s="25" t="n">
        <v>30</v>
      </c>
      <c r="M87" s="30" t="n">
        <v>0.77</v>
      </c>
      <c r="N87" s="31" t="n">
        <v>1.2</v>
      </c>
      <c r="O87" s="31" t="n">
        <v>10</v>
      </c>
      <c r="P87" s="31" t="n">
        <v>6.9</v>
      </c>
      <c r="Q87" s="31" t="n">
        <v>4</v>
      </c>
      <c r="R87" s="31" t="n">
        <v>4</v>
      </c>
      <c r="S87" s="31" t="n">
        <v>7</v>
      </c>
      <c r="T87" s="31" t="n">
        <v>4</v>
      </c>
      <c r="U87" s="26">
        <f>COUNTIF(SKU明细!D3:D607,B87)</f>
        <v>3.0</v>
      </c>
      <c r="V87" s="32" t="inlineStr">
        <is>
          <t>需求偏冷：「想要」人数中位数仅 1，自然流量薄弱，靠搜索自然成交难度大，需搭配低价或搭售；单件利润空间可观：全新竞品中位价 ¥254，P25–P75 主流带 ¥220–299，有腾挪定价空间；竞争中等：Top30 中出现 0 个不同品牌，需要在主图和标题上做出差异；售后风险极低：非电器或耗材形态，基本无充电/质保/退货纠纷；宣称需克制：文案避免「治疗/根治/祛斑」等医疗功效词，用「清洁/护理/辅助」表述；该品类样本中未见自有品牌在售，属空白位——无内卷，但也需教育市场成本</t>
        </is>
      </c>
      <c r="W87" s="32" t="inlineStr">
        <is>
          <t>谨慎试水：少量上架测款，只有当月出单才补货；写清「瑕疵/为什么低价」</t>
        </is>
      </c>
    </row>
    <row r="88" ht="58" customHeight="1">
      <c r="A88" s="25" t="n">
        <v>86</v>
      </c>
      <c r="B88" s="26" t="inlineStr">
        <is>
          <t>甩脂机</t>
        </is>
      </c>
      <c r="C88" s="36" t="inlineStr">
        <is>
          <t>C</t>
        </is>
      </c>
      <c r="D88" s="28" t="n">
        <v>5.31</v>
      </c>
      <c r="E88" s="29" t="n">
        <v>59</v>
      </c>
      <c r="F88" s="29" t="n">
        <v>46</v>
      </c>
      <c r="G88" s="25" t="inlineStr">
        <is>
          <t>¥41–50</t>
        </is>
      </c>
      <c r="H88" s="29" t="n">
        <v>39</v>
      </c>
      <c r="I88" s="29" t="n">
        <v>48</v>
      </c>
      <c r="J88" s="29" t="n">
        <v>63</v>
      </c>
      <c r="K88" s="25" t="n">
        <v>4.5</v>
      </c>
      <c r="L88" s="25" t="n">
        <v>30</v>
      </c>
      <c r="M88" s="30" t="n">
        <v>0.4</v>
      </c>
      <c r="N88" s="31" t="n">
        <v>3</v>
      </c>
      <c r="O88" s="31" t="n">
        <v>8.199999999999999</v>
      </c>
      <c r="P88" s="31" t="n">
        <v>6.8</v>
      </c>
      <c r="Q88" s="31" t="n">
        <v>3</v>
      </c>
      <c r="R88" s="31" t="n">
        <v>2</v>
      </c>
      <c r="S88" s="31" t="n">
        <v>6</v>
      </c>
      <c r="T88" s="31" t="n">
        <v>3</v>
      </c>
      <c r="U88" s="26">
        <f>COUNTIF(SKU明细!D3:D607,B88)</f>
        <v>2.0</v>
      </c>
      <c r="V88" s="32" t="inlineStr">
        <is>
          <t>需求偏冷：「想要」人数中位数仅 4，自然流量薄弱，靠搜索自然成交难度大，需搭配低价或搭售；单件利润空间可观：全新竞品中位价 ¥59，P25–P75 主流带 ¥48–63，有腾挪定价空间；竞争中等：Top30 中出现 1 个不同品牌，需要在主图和标题上做出差异；售后风险极低：非电器或耗材形态，基本无充电/质保/退货纠纷；无资质门槛：上架无特殊资质要求，标题可自由发挥；自有品牌在该品类已有零星在售（4 条，占 13%），说明存在成交但尚未形成压倒性优势，适合抢占头部位置</t>
        </is>
      </c>
      <c r="W88" s="32" t="inlineStr">
        <is>
          <t>谨慎试水：少量上架测款，只有当月出单才补货；写清「瑕疵/为什么低价」</t>
        </is>
      </c>
    </row>
    <row r="89" ht="58" customHeight="1">
      <c r="A89" s="25" t="n">
        <v>87</v>
      </c>
      <c r="B89" s="26" t="inlineStr">
        <is>
          <t>智能护膝仪</t>
        </is>
      </c>
      <c r="C89" s="36" t="inlineStr">
        <is>
          <t>C</t>
        </is>
      </c>
      <c r="D89" s="28" t="n">
        <v>5.27</v>
      </c>
      <c r="E89" s="29" t="n">
        <v>100</v>
      </c>
      <c r="F89" s="29" t="n">
        <v>38</v>
      </c>
      <c r="G89" s="25" t="inlineStr">
        <is>
          <t>¥36–41</t>
        </is>
      </c>
      <c r="H89" s="29" t="n">
        <v>34</v>
      </c>
      <c r="I89" s="29" t="n">
        <v>41</v>
      </c>
      <c r="J89" s="29" t="n">
        <v>139</v>
      </c>
      <c r="K89" s="25" t="n">
        <v>4</v>
      </c>
      <c r="L89" s="25" t="n">
        <v>30</v>
      </c>
      <c r="M89" s="30" t="n">
        <v>0.7</v>
      </c>
      <c r="N89" s="31" t="n">
        <v>2.8</v>
      </c>
      <c r="O89" s="31" t="n">
        <v>9.199999999999999</v>
      </c>
      <c r="P89" s="31" t="n">
        <v>6.8</v>
      </c>
      <c r="Q89" s="31" t="n">
        <v>3</v>
      </c>
      <c r="R89" s="31" t="n">
        <v>4</v>
      </c>
      <c r="S89" s="31" t="n">
        <v>7</v>
      </c>
      <c r="T89" s="31" t="n">
        <v>3</v>
      </c>
      <c r="U89" s="26">
        <f>COUNTIF(SKU明细!D3:D607,B89)</f>
        <v>1.0</v>
      </c>
      <c r="V89" s="32" t="inlineStr">
        <is>
          <t>需求偏冷：「想要」人数中位数仅 4，自然流量薄弱，靠搜索自然成交难度大，需搭配低价或搭售；单件利润空间可观：全新竞品中位价 ¥100，P25–P75 主流带 ¥41–139，有腾挪定价空间；竞争中等：Top30 中出现 0 个不同品牌，需要在主图和标题上做出差异；售后风险极低：非电器或耗材形态，基本无充电/质保/退货纠纷；宣称需克制：文案避免「治疗/根治/祛斑」等医疗功效词，用「清洁/护理/辅助」表述；该品类样本中未见自有品牌在售，属空白位——无内卷，但也需教育市场成本</t>
        </is>
      </c>
      <c r="W89" s="32" t="inlineStr">
        <is>
          <t>谨慎试水：少量上架测款，只有当月出单才补货；写清「瑕疵/为什么低价」</t>
        </is>
      </c>
    </row>
    <row r="90" ht="58" customHeight="1">
      <c r="A90" s="25" t="n">
        <v>88</v>
      </c>
      <c r="B90" s="26" t="inlineStr">
        <is>
          <t>冰丝口罩</t>
        </is>
      </c>
      <c r="C90" s="36" t="inlineStr">
        <is>
          <t>C</t>
        </is>
      </c>
      <c r="D90" s="28" t="n">
        <v>5.25</v>
      </c>
      <c r="E90" s="29" t="n">
        <v>14</v>
      </c>
      <c r="F90" s="29" t="n">
        <v>7</v>
      </c>
      <c r="G90" s="25" t="inlineStr">
        <is>
          <t>¥7–7</t>
        </is>
      </c>
      <c r="H90" s="29" t="n">
        <v>7</v>
      </c>
      <c r="I90" s="29" t="n">
        <v>9</v>
      </c>
      <c r="J90" s="29" t="n">
        <v>17</v>
      </c>
      <c r="K90" s="25" t="n">
        <v>5</v>
      </c>
      <c r="L90" s="25" t="n">
        <v>30</v>
      </c>
      <c r="M90" s="30" t="n">
        <v>0.73</v>
      </c>
      <c r="N90" s="31" t="n">
        <v>3.1</v>
      </c>
      <c r="O90" s="31" t="n">
        <v>5</v>
      </c>
      <c r="P90" s="31" t="n">
        <v>6.7</v>
      </c>
      <c r="Q90" s="31" t="n">
        <v>5</v>
      </c>
      <c r="R90" s="31" t="n">
        <v>5</v>
      </c>
      <c r="S90" s="31" t="n">
        <v>9</v>
      </c>
      <c r="T90" s="31" t="n">
        <v>7</v>
      </c>
      <c r="U90" s="26">
        <f>COUNTIF(SKU明细!D3:D607,B90)</f>
        <v>3.0</v>
      </c>
      <c r="V90" s="32" t="inlineStr">
        <is>
          <t>需求偏冷：「想要」人数中位数仅 5，自然流量薄弱，靠搜索自然成交难度大，需搭配低价或搭售；价格中等：全新竞品中位价 ¥14，主流带 ¥9–17，薄利走量，需控运损；竞争中等：Top30 中出现 2 个不同品牌，需要在主图和标题上做出差异；售后可控：常规小家电，做好成色描述与功能实测视频即可；宣称需克制：文案避免「治疗/根治/祛斑」等医疗功效词，用「清洁/护理/辅助」表述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90" s="32" t="inlineStr">
        <is>
          <t>谨慎试水：少量上架测款，只有当月出单才补货；写清「瑕疵/为什么低价」</t>
        </is>
      </c>
    </row>
    <row r="91" ht="58" customHeight="1">
      <c r="A91" s="25" t="n">
        <v>89</v>
      </c>
      <c r="B91" s="26" t="inlineStr">
        <is>
          <t>强脉冲光治疗仪</t>
        </is>
      </c>
      <c r="C91" s="36" t="inlineStr">
        <is>
          <t>C</t>
        </is>
      </c>
      <c r="D91" s="28" t="n">
        <v>5.24</v>
      </c>
      <c r="E91" s="29" t="n">
        <v>60</v>
      </c>
      <c r="F91" s="29" t="n">
        <v>12</v>
      </c>
      <c r="G91" s="25" t="inlineStr">
        <is>
          <t>¥12–13</t>
        </is>
      </c>
      <c r="H91" s="29" t="n">
        <v>11</v>
      </c>
      <c r="I91" s="29" t="n">
        <v>16</v>
      </c>
      <c r="J91" s="29" t="n">
        <v>56</v>
      </c>
      <c r="K91" s="25" t="n">
        <v>5</v>
      </c>
      <c r="L91" s="25" t="n">
        <v>30</v>
      </c>
      <c r="M91" s="30" t="n">
        <v>0.33</v>
      </c>
      <c r="N91" s="31" t="n">
        <v>3.1</v>
      </c>
      <c r="O91" s="31" t="n">
        <v>7.8</v>
      </c>
      <c r="P91" s="31" t="n">
        <v>6.9</v>
      </c>
      <c r="Q91" s="31" t="n">
        <v>4</v>
      </c>
      <c r="R91" s="31" t="n">
        <v>1</v>
      </c>
      <c r="S91" s="31" t="n">
        <v>5</v>
      </c>
      <c r="T91" s="31" t="n">
        <v>3</v>
      </c>
      <c r="U91" s="26">
        <f>COUNTIF(SKU明细!D3:D607,B91)</f>
        <v>2.0</v>
      </c>
      <c r="V91" s="32" t="inlineStr">
        <is>
          <t>需求偏冷：「想要」人数中位数仅 5，自然流量薄弱，靠搜索自然成交难度大，需搭配低价或搭售；单件利润空间可观：全新竞品中位价 ¥60，P25–P75 主流带 ¥16–56，有腾挪定价空间；竞争中等：Top30 中出现 1 个不同品牌，需要在主图和标题上做出差异；售后风险极低：非电器或耗材形态，基本无充电/质保/退货纠纷；无资质门槛：上架无特殊资质要求，标题可自由发挥；新手门槛偏高：需讲清参数/尺寸/安装或操作说明，图文投入要足</t>
        </is>
      </c>
      <c r="W91" s="32" t="inlineStr">
        <is>
          <t>谨慎试水：少量上架测款，只有当月出单才补货；写清「瑕疵/为什么低价」</t>
        </is>
      </c>
    </row>
    <row r="92" ht="58" customHeight="1">
      <c r="A92" s="25" t="n">
        <v>90</v>
      </c>
      <c r="B92" s="26" t="inlineStr">
        <is>
          <t>漱口水</t>
        </is>
      </c>
      <c r="C92" s="36" t="inlineStr">
        <is>
          <t>C</t>
        </is>
      </c>
      <c r="D92" s="28" t="n">
        <v>5.23</v>
      </c>
      <c r="E92" s="29" t="n">
        <v>16</v>
      </c>
      <c r="F92" s="29" t="n">
        <v>10</v>
      </c>
      <c r="G92" s="25" t="inlineStr">
        <is>
          <t>¥8–12</t>
        </is>
      </c>
      <c r="H92" s="29" t="n">
        <v>8</v>
      </c>
      <c r="I92" s="29" t="n">
        <v>10</v>
      </c>
      <c r="J92" s="29" t="n">
        <v>19</v>
      </c>
      <c r="K92" s="25" t="n">
        <v>9</v>
      </c>
      <c r="L92" s="25" t="n">
        <v>30</v>
      </c>
      <c r="M92" s="30" t="n">
        <v>0.83</v>
      </c>
      <c r="N92" s="31" t="n">
        <v>4</v>
      </c>
      <c r="O92" s="31" t="n">
        <v>5.7</v>
      </c>
      <c r="P92" s="31" t="n">
        <v>6.7</v>
      </c>
      <c r="Q92" s="31" t="n">
        <v>5</v>
      </c>
      <c r="R92" s="31" t="n">
        <v>1</v>
      </c>
      <c r="S92" s="31" t="n">
        <v>8</v>
      </c>
      <c r="T92" s="31" t="n">
        <v>9</v>
      </c>
      <c r="U92" s="26">
        <f>COUNTIF(SKU明细!D3:D607,B92)</f>
        <v>1.0</v>
      </c>
      <c r="V92" s="32" t="inlineStr">
        <is>
          <t>需求偏冷：「想要」人数中位数仅 9，自然流量薄弱，靠搜索自然成交难度大，需搭配低价或搭售；价格中等：全新竞品中位价 ¥16，主流带 ¥10–19，薄利走量，需控运损；竞争中等：Top30 中出现 1 个不同品牌，需要在主图和标题上做出差异；售后可控：常规小家电，做好成色描述与功能实测视频即可；无资质门槛：上架无特殊资质要求，标题可自由发挥；耗材属性强：可与主机绑定做「主品+耗材」复购套餐，锁定回头客；该品类样本中未见自有品牌在售，属空白位——无内卷，但也需教育市场成本；新手友好：商品好描述、体积小发货轻、决策快，适合铺量上架</t>
        </is>
      </c>
      <c r="W92" s="32" t="inlineStr">
        <is>
          <t>谨慎试水：少量上架测款，只有当月出单才补货；写清「瑕疵/为什么低价」</t>
        </is>
      </c>
    </row>
    <row r="93" ht="58" customHeight="1">
      <c r="A93" s="25" t="n">
        <v>91</v>
      </c>
      <c r="B93" s="26" t="inlineStr">
        <is>
          <t>便携干衣机</t>
        </is>
      </c>
      <c r="C93" s="36" t="inlineStr">
        <is>
          <t>C</t>
        </is>
      </c>
      <c r="D93" s="28" t="n">
        <v>5.2</v>
      </c>
      <c r="E93" s="29" t="n">
        <v>49</v>
      </c>
      <c r="F93" s="29" t="n">
        <v>42</v>
      </c>
      <c r="G93" s="25" t="inlineStr">
        <is>
          <t>¥41–42</t>
        </is>
      </c>
      <c r="H93" s="29" t="n">
        <v>39</v>
      </c>
      <c r="I93" s="29" t="n">
        <v>45</v>
      </c>
      <c r="J93" s="29" t="n">
        <v>60</v>
      </c>
      <c r="K93" s="25" t="n">
        <v>3</v>
      </c>
      <c r="L93" s="25" t="n">
        <v>30</v>
      </c>
      <c r="M93" s="30" t="n">
        <v>0.7</v>
      </c>
      <c r="N93" s="31" t="n">
        <v>2.4</v>
      </c>
      <c r="O93" s="31" t="n">
        <v>7.8</v>
      </c>
      <c r="P93" s="31" t="n">
        <v>6.7</v>
      </c>
      <c r="Q93" s="31" t="n">
        <v>1</v>
      </c>
      <c r="R93" s="31" t="n">
        <v>9</v>
      </c>
      <c r="S93" s="31" t="n">
        <v>5</v>
      </c>
      <c r="T93" s="31" t="n">
        <v>4</v>
      </c>
      <c r="U93" s="26">
        <f>COUNTIF(SKU明细!D3:D607,B93)</f>
        <v>2.0</v>
      </c>
      <c r="V93" s="32" t="inlineStr">
        <is>
          <t>需求偏冷：「想要」人数中位数仅 3，自然流量薄弱，靠搜索自然成交难度大，需搭配低价或搭售；单件利润空间可观：全新竞品中位价 ¥49，P25–P75 主流带 ¥45–60，有腾挪定价空间；竞争中等：Top30 中出现 4 个不同品牌，需要在主图和标题上做出差异；售后风险极低：非电器或耗材形态，基本无充电/质保/退货纠纷；⚠️ 合规强监管：属强资质敏感品类，资质/标签/宣称任一不合规即触发下架或扣分；新手门槛偏高：需讲清参数/尺寸/安装或操作说明，图文投入要足</t>
        </is>
      </c>
      <c r="W93" s="32" t="inlineStr">
        <is>
          <t>谨慎试水：少量上架测款，只有当月出单才补货；写清「瑕疵/为什么低价」</t>
        </is>
      </c>
    </row>
    <row r="94" ht="58" customHeight="1">
      <c r="A94" s="25" t="n">
        <v>92</v>
      </c>
      <c r="B94" s="26" t="inlineStr">
        <is>
          <t>立式切菜器</t>
        </is>
      </c>
      <c r="C94" s="36" t="inlineStr">
        <is>
          <t>C</t>
        </is>
      </c>
      <c r="D94" s="28" t="n">
        <v>5.2</v>
      </c>
      <c r="E94" s="29" t="n">
        <v>18</v>
      </c>
      <c r="F94" s="29" t="n">
        <v>14</v>
      </c>
      <c r="G94" s="25" t="inlineStr">
        <is>
          <t>¥12–15</t>
        </is>
      </c>
      <c r="H94" s="29" t="n">
        <v>11</v>
      </c>
      <c r="I94" s="29" t="n">
        <v>16</v>
      </c>
      <c r="J94" s="29" t="n">
        <v>29</v>
      </c>
      <c r="K94" s="25" t="n">
        <v>3</v>
      </c>
      <c r="L94" s="25" t="n">
        <v>30</v>
      </c>
      <c r="M94" s="30" t="n">
        <v>0.7</v>
      </c>
      <c r="N94" s="31" t="n">
        <v>2.4</v>
      </c>
      <c r="O94" s="31" t="n">
        <v>5.9</v>
      </c>
      <c r="P94" s="31" t="n">
        <v>6.7</v>
      </c>
      <c r="Q94" s="31" t="n">
        <v>3</v>
      </c>
      <c r="R94" s="31" t="n">
        <v>10</v>
      </c>
      <c r="S94" s="31" t="n">
        <v>8</v>
      </c>
      <c r="T94" s="31" t="n">
        <v>6</v>
      </c>
      <c r="U94" s="26">
        <f>COUNTIF(SKU明细!D3:D607,B94)</f>
        <v>1.0</v>
      </c>
      <c r="V94" s="32" t="inlineStr">
        <is>
          <t>需求偏冷：「想要」人数中位数仅 3，自然流量薄弱，靠搜索自然成交难度大，需搭配低价或搭售；价格中等：全新竞品中位价 ¥18，主流带 ¥16–29，薄利走量，需控运损；竞争中等：Top30 中出现 4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94" s="32" t="inlineStr">
        <is>
          <t>谨慎试水：少量上架测款，只有当月出单才补货；写清「瑕疵/为什么低价」</t>
        </is>
      </c>
    </row>
    <row r="95" ht="58" customHeight="1">
      <c r="A95" s="25" t="n">
        <v>93</v>
      </c>
      <c r="B95" s="26" t="inlineStr">
        <is>
          <t>智能可视洁牙器</t>
        </is>
      </c>
      <c r="C95" s="36" t="inlineStr">
        <is>
          <t>C</t>
        </is>
      </c>
      <c r="D95" s="28" t="n">
        <v>5.14</v>
      </c>
      <c r="E95" s="29" t="n">
        <v>76</v>
      </c>
      <c r="F95" s="29" t="n">
        <v>38</v>
      </c>
      <c r="G95" s="25" t="inlineStr">
        <is>
          <t>¥31–44</t>
        </is>
      </c>
      <c r="H95" s="29" t="n">
        <v>29</v>
      </c>
      <c r="I95" s="29" t="n">
        <v>58</v>
      </c>
      <c r="J95" s="29" t="n">
        <v>117</v>
      </c>
      <c r="K95" s="25" t="n">
        <v>4</v>
      </c>
      <c r="L95" s="25" t="n">
        <v>30</v>
      </c>
      <c r="M95" s="30" t="n">
        <v>0.7</v>
      </c>
      <c r="N95" s="31" t="n">
        <v>2.8</v>
      </c>
      <c r="O95" s="31" t="n">
        <v>8.4</v>
      </c>
      <c r="P95" s="31" t="n">
        <v>6.9</v>
      </c>
      <c r="Q95" s="31" t="n">
        <v>4</v>
      </c>
      <c r="R95" s="31" t="n">
        <v>2</v>
      </c>
      <c r="S95" s="31" t="n">
        <v>6</v>
      </c>
      <c r="T95" s="31" t="n">
        <v>4</v>
      </c>
      <c r="U95" s="26">
        <f>COUNTIF(SKU明细!D3:D607,B95)</f>
        <v>2.0</v>
      </c>
      <c r="V95" s="32" t="inlineStr">
        <is>
          <t>需求偏冷：「想要」人数中位数仅 4，自然流量薄弱，靠搜索自然成交难度大，需搭配低价或搭售；单件利润空间可观：全新竞品中位价 ¥76，P25–P75 主流带 ¥58–117，有腾挪定价空间；竞争中等：Top30 中出现 1 个不同品牌，需要在主图和标题上做出差异；售后风险极低：非电器或耗材形态，基本无充电/质保/退货纠纷；无资质门槛：上架无特殊资质要求，标题可自由发挥；该品类样本中未见自有品牌在售，属空白位——无内卷，但也需教育市场成本</t>
        </is>
      </c>
      <c r="W95" s="32" t="inlineStr">
        <is>
          <t>谨慎试水：少量上架测款，只有当月出单才补货；写清「瑕疵/为什么低价」</t>
        </is>
      </c>
    </row>
    <row r="96" ht="58" customHeight="1">
      <c r="A96" s="25" t="n">
        <v>94</v>
      </c>
      <c r="B96" s="26" t="inlineStr">
        <is>
          <t>电动指甲刀</t>
        </is>
      </c>
      <c r="C96" s="36" t="inlineStr">
        <is>
          <t>C</t>
        </is>
      </c>
      <c r="D96" s="28" t="n">
        <v>5.11</v>
      </c>
      <c r="E96" s="29" t="n">
        <v>26</v>
      </c>
      <c r="F96" s="29" t="n">
        <v>16</v>
      </c>
      <c r="G96" s="25" t="inlineStr">
        <is>
          <t>¥13–18</t>
        </is>
      </c>
      <c r="H96" s="29" t="n">
        <v>12</v>
      </c>
      <c r="I96" s="29" t="n">
        <v>18</v>
      </c>
      <c r="J96" s="29" t="n">
        <v>35</v>
      </c>
      <c r="K96" s="25" t="n">
        <v>4</v>
      </c>
      <c r="L96" s="25" t="n">
        <v>60</v>
      </c>
      <c r="M96" s="30" t="n">
        <v>0.62</v>
      </c>
      <c r="N96" s="31" t="n">
        <v>3.6</v>
      </c>
      <c r="O96" s="31" t="n">
        <v>6.6</v>
      </c>
      <c r="P96" s="31" t="n">
        <v>3.5</v>
      </c>
      <c r="Q96" s="31" t="n">
        <v>2</v>
      </c>
      <c r="R96" s="31" t="n">
        <v>10</v>
      </c>
      <c r="S96" s="31" t="n">
        <v>8</v>
      </c>
      <c r="T96" s="31" t="n">
        <v>6</v>
      </c>
      <c r="U96" s="26">
        <f>COUNTIF(SKU明细!D3:D607,B96)</f>
        <v>4.0</v>
      </c>
      <c r="V96" s="32" t="inlineStr">
        <is>
          <t>需求偏冷：「想要」人数中位数仅 4，自然流量薄弱，靠搜索自然成交难度大，需搭配低价或搭售；价格中等：全新竞品中位价 ¥26，主流带 ¥18–35，薄利走量，需控运损；竞争激烈：Top30 里已挤进 2 个品牌，头部品牌已形成价格锚定，正面硬拼不划算；售后风险极低：非电器或耗材形态，基本无充电/质保/退货纠纷；⚠️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96" s="32" t="inlineStr">
        <is>
          <t>谨慎试水：少量上架测款，只有当月出单才补货；写清「瑕疵/为什么低价」</t>
        </is>
      </c>
    </row>
    <row r="97" ht="58" customHeight="1">
      <c r="A97" s="25" t="n">
        <v>95</v>
      </c>
      <c r="B97" s="26" t="inlineStr">
        <is>
          <t>矫姿带</t>
        </is>
      </c>
      <c r="C97" s="36" t="inlineStr">
        <is>
          <t>C</t>
        </is>
      </c>
      <c r="D97" s="28" t="n">
        <v>5.1</v>
      </c>
      <c r="E97" s="29" t="n">
        <v>20</v>
      </c>
      <c r="F97" s="29" t="n">
        <v>12</v>
      </c>
      <c r="G97" s="25" t="inlineStr">
        <is>
          <t>¥10–15</t>
        </is>
      </c>
      <c r="H97" s="29" t="n">
        <v>10</v>
      </c>
      <c r="I97" s="29" t="n">
        <v>15</v>
      </c>
      <c r="J97" s="29" t="n">
        <v>28</v>
      </c>
      <c r="K97" s="25" t="n">
        <v>4</v>
      </c>
      <c r="L97" s="25" t="n">
        <v>30</v>
      </c>
      <c r="M97" s="30" t="n">
        <v>0.53</v>
      </c>
      <c r="N97" s="31" t="n">
        <v>2.8</v>
      </c>
      <c r="O97" s="31" t="n">
        <v>6.1</v>
      </c>
      <c r="P97" s="31" t="n">
        <v>7</v>
      </c>
      <c r="Q97" s="31" t="n">
        <v>4</v>
      </c>
      <c r="R97" s="31" t="n">
        <v>6</v>
      </c>
      <c r="S97" s="31" t="n">
        <v>8</v>
      </c>
      <c r="T97" s="31" t="n">
        <v>3</v>
      </c>
      <c r="U97" s="26">
        <f>COUNTIF(SKU明细!D3:D607,B97)</f>
        <v>19.0</v>
      </c>
      <c r="V97" s="32" t="inlineStr">
        <is>
          <t>需求偏冷：「想要」人数中位数仅 4，自然流量薄弱，靠搜索自然成交难度大，需搭配低价或搭售；价格中等：全新竞品中位价 ¥20，主流带 ¥15–28，薄利走量，需控运损；竞争温和：在售 Top30 覆盖 1 个品牌，格局分散，新链接有出头机会；售后风险极低：非电器或耗材形态，基本无充电/质保/退货纠纷；宣称需克制：文案避免「治疗/根治/祛斑」等医疗功效词，用「清洁/护理/辅助」表述；该品类样本中未见自有品牌在售，属空白位——无内卷，但也需教育市场成本；新手友好：商品好描述、体积小发货轻、决策快，适合铺量上架</t>
        </is>
      </c>
      <c r="W97" s="32" t="inlineStr">
        <is>
          <t>谨慎试水：少量上架测款，只有当月出单才补货；写清「瑕疵/为什么低价」</t>
        </is>
      </c>
    </row>
    <row r="98" ht="58" customHeight="1">
      <c r="A98" s="25" t="n">
        <v>96</v>
      </c>
      <c r="B98" s="26" t="inlineStr">
        <is>
          <t>净水器</t>
        </is>
      </c>
      <c r="C98" s="36" t="inlineStr">
        <is>
          <t>C</t>
        </is>
      </c>
      <c r="D98" s="28" t="n">
        <v>5.04</v>
      </c>
      <c r="E98" s="29" t="n">
        <v>35</v>
      </c>
      <c r="F98" s="29" t="n">
        <v>15</v>
      </c>
      <c r="G98" s="25" t="inlineStr">
        <is>
          <t>¥14–16</t>
        </is>
      </c>
      <c r="H98" s="29" t="n">
        <v>13</v>
      </c>
      <c r="I98" s="29" t="n">
        <v>20</v>
      </c>
      <c r="J98" s="29" t="n">
        <v>39</v>
      </c>
      <c r="K98" s="25" t="n">
        <v>3</v>
      </c>
      <c r="L98" s="25" t="n">
        <v>30</v>
      </c>
      <c r="M98" s="30" t="n">
        <v>0.67</v>
      </c>
      <c r="N98" s="31" t="n">
        <v>2.4</v>
      </c>
      <c r="O98" s="31" t="n">
        <v>6.6</v>
      </c>
      <c r="P98" s="31" t="n">
        <v>6</v>
      </c>
      <c r="Q98" s="31" t="n">
        <v>2</v>
      </c>
      <c r="R98" s="31" t="n">
        <v>6</v>
      </c>
      <c r="S98" s="31" t="n">
        <v>6</v>
      </c>
      <c r="T98" s="31" t="n">
        <v>7</v>
      </c>
      <c r="U98" s="26">
        <f>COUNTIF(SKU明细!D3:D607,B98)</f>
        <v>1.0</v>
      </c>
      <c r="V98" s="32" t="inlineStr">
        <is>
          <t>需求偏冷：「想要」人数中位数仅 3，自然流量薄弱，靠搜索自然成交难度大，需搭配低价或搭售；价格中等：全新竞品中位价 ¥35，主流带 ¥20–39，薄利走量，需控运损；竞争中等：Top30 中出现 8 个不同品牌，需要在主图和标题上做出差异；售后风险极低：非电器或耗材形态，基本无充电/质保/退货纠纷；宣称需克制：文案避免「治疗/根治/祛斑」等医疗功效词，用「清洁/护理/辅助」表述；有一定复购：刀头/磨头/袋装等配套件可带动二次成交；自有品牌在该品类已有零星在售（2 条，占 7%），说明存在成交但尚未形成压倒性优势，适合抢占头部位置</t>
        </is>
      </c>
      <c r="W98" s="32" t="inlineStr">
        <is>
          <t>谨慎试水：少量上架测款，只有当月出单才补货；写清「瑕疵/为什么低价」</t>
        </is>
      </c>
    </row>
    <row r="99" ht="58" customHeight="1">
      <c r="A99" s="25" t="n">
        <v>97</v>
      </c>
      <c r="B99" s="26" t="inlineStr">
        <is>
          <t>毛球修剪器</t>
        </is>
      </c>
      <c r="C99" s="36" t="inlineStr">
        <is>
          <t>C</t>
        </is>
      </c>
      <c r="D99" s="28" t="n">
        <v>4.99</v>
      </c>
      <c r="E99" s="29" t="n">
        <v>16</v>
      </c>
      <c r="F99" s="29" t="n">
        <v>8</v>
      </c>
      <c r="G99" s="25" t="inlineStr">
        <is>
          <t>¥6–9</t>
        </is>
      </c>
      <c r="H99" s="29" t="n">
        <v>6</v>
      </c>
      <c r="I99" s="29" t="n">
        <v>10</v>
      </c>
      <c r="J99" s="29" t="n">
        <v>20</v>
      </c>
      <c r="K99" s="25" t="n">
        <v>2</v>
      </c>
      <c r="L99" s="25" t="n">
        <v>30</v>
      </c>
      <c r="M99" s="30" t="n">
        <v>0.53</v>
      </c>
      <c r="N99" s="31" t="n">
        <v>1.9</v>
      </c>
      <c r="O99" s="31" t="n">
        <v>5.1</v>
      </c>
      <c r="P99" s="31" t="n">
        <v>6.7</v>
      </c>
      <c r="Q99" s="31" t="n">
        <v>2</v>
      </c>
      <c r="R99" s="31" t="n">
        <v>10</v>
      </c>
      <c r="S99" s="31" t="n">
        <v>9</v>
      </c>
      <c r="T99" s="31" t="n">
        <v>6</v>
      </c>
      <c r="U99" s="26">
        <f>COUNTIF(SKU明细!D3:D607,B99)</f>
        <v>7.0</v>
      </c>
      <c r="V99" s="32" t="inlineStr">
        <is>
          <t>需求偏冷：「想要」人数中位数仅 2，自然流量薄弱，靠搜索自然成交难度大，需搭配低价或搭售；价格中等：全新竞品中位价 ¥16，主流带 ¥10–20，薄利走量，需控运损；竞争中等：Top30 中出现 5 个不同品牌，需要在主图和标题上做出差异；售后风险极低：非电器或耗材形态，基本无充电/质保/退货纠纷；⚠️ 合规强监管：属强资质敏感品类，资质/标签/宣称任一不合规即触发下架或扣分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99" s="32" t="inlineStr">
        <is>
          <t>谨慎试水：少量上架测款，只有当月出单才补货；写清「瑕疵/为什么低价」</t>
        </is>
      </c>
    </row>
    <row r="100" ht="58" customHeight="1">
      <c r="A100" s="25" t="n">
        <v>98</v>
      </c>
      <c r="B100" s="26" t="inlineStr">
        <is>
          <t>家禽拔毛器</t>
        </is>
      </c>
      <c r="C100" s="36" t="inlineStr">
        <is>
          <t>C</t>
        </is>
      </c>
      <c r="D100" s="28" t="n">
        <v>4.89</v>
      </c>
      <c r="E100" s="29" t="n">
        <v>35</v>
      </c>
      <c r="F100" s="29" t="n">
        <v>20</v>
      </c>
      <c r="G100" s="25" t="inlineStr">
        <is>
          <t>¥15–24</t>
        </is>
      </c>
      <c r="H100" s="29" t="n">
        <v>14</v>
      </c>
      <c r="I100" s="29" t="n">
        <v>20</v>
      </c>
      <c r="J100" s="29" t="n">
        <v>39</v>
      </c>
      <c r="K100" s="25" t="n">
        <v>2</v>
      </c>
      <c r="L100" s="25" t="n">
        <v>60</v>
      </c>
      <c r="M100" s="30" t="n">
        <v>0.7</v>
      </c>
      <c r="N100" s="31" t="n">
        <v>2.7</v>
      </c>
      <c r="O100" s="31" t="n">
        <v>6.8</v>
      </c>
      <c r="P100" s="31" t="n">
        <v>3.8</v>
      </c>
      <c r="Q100" s="31" t="n">
        <v>3</v>
      </c>
      <c r="R100" s="31" t="n">
        <v>10</v>
      </c>
      <c r="S100" s="31" t="n">
        <v>8</v>
      </c>
      <c r="T100" s="31" t="n">
        <v>4</v>
      </c>
      <c r="U100" s="26">
        <f>COUNTIF(SKU明细!D3:D607,B100)</f>
        <v>1.0</v>
      </c>
      <c r="V100" s="32" t="inlineStr">
        <is>
          <t>需求偏冷：「想要」人数中位数仅 2，自然流量薄弱，靠搜索自然成交难度大，需搭配低价或搭售；价格中等：全新竞品中位价 ¥35，主流带 ¥20–39，薄利走量，需控运损；竞争激烈：Top30 里已挤进 1 个品牌，头部品牌已形成价格锚定，正面硬拼不划算；售后风险极低：非电器或耗材形态，基本无充电/质保/退货纠纷；⚠️ 合规强监管：属强资质敏感品类，资质/标签/宣称任一不合规即触发下架或扣分；该品类样本中未见自有品牌在售，属空白位——无内卷，但也需教育市场成本；新手友好：商品好描述、体积小发货轻、决策快，适合铺量上架</t>
        </is>
      </c>
      <c r="W100" s="32" t="inlineStr">
        <is>
          <t>谨慎试水：少量上架测款，只有当月出单才补货；写清「瑕疵/为什么低价」</t>
        </is>
      </c>
    </row>
    <row r="101" ht="58" customHeight="1">
      <c r="A101" s="25" t="n">
        <v>99</v>
      </c>
      <c r="B101" s="26" t="inlineStr">
        <is>
          <t>食材净化机</t>
        </is>
      </c>
      <c r="C101" s="36" t="inlineStr">
        <is>
          <t>C</t>
        </is>
      </c>
      <c r="D101" s="28" t="n">
        <v>4.86</v>
      </c>
      <c r="E101" s="29" t="n">
        <v>60</v>
      </c>
      <c r="F101" s="29" t="n">
        <v>12</v>
      </c>
      <c r="G101" s="25" t="inlineStr">
        <is>
          <t>¥11–14</t>
        </is>
      </c>
      <c r="H101" s="29" t="n">
        <v>10</v>
      </c>
      <c r="I101" s="29" t="n">
        <v>20</v>
      </c>
      <c r="J101" s="29" t="n">
        <v>69</v>
      </c>
      <c r="K101" s="25" t="n">
        <v>2</v>
      </c>
      <c r="L101" s="25" t="n">
        <v>30</v>
      </c>
      <c r="M101" s="30" t="n">
        <v>0.73</v>
      </c>
      <c r="N101" s="31" t="n">
        <v>1.9</v>
      </c>
      <c r="O101" s="31" t="n">
        <v>7.2</v>
      </c>
      <c r="P101" s="31" t="n">
        <v>6.8</v>
      </c>
      <c r="Q101" s="31" t="n">
        <v>2</v>
      </c>
      <c r="R101" s="31" t="n">
        <v>5</v>
      </c>
      <c r="S101" s="31" t="n">
        <v>6</v>
      </c>
      <c r="T101" s="31" t="n">
        <v>5</v>
      </c>
      <c r="U101" s="26">
        <f>COUNTIF(SKU明细!D3:D607,B101)</f>
        <v>3.0</v>
      </c>
      <c r="V101" s="32" t="inlineStr">
        <is>
          <t>需求偏冷：「想要」人数中位数仅 2，自然流量薄弱，靠搜索自然成交难度大，需搭配低价或搭售；单件利润空间可观：全新竞品中位价 ¥60，P25–P75 主流带 ¥20–69，有腾挪定价空间；竞争中等：Top30 中出现 3 个不同品牌，需要在主图和标题上做出差异；售后风险极低：非电器或耗材形态，基本无充电/质保/退货纠纷；宣称需克制：文案避免「治疗/根治/祛斑」等医疗功效词，用「清洁/护理/辅助」表述；有一定复购：刀头/磨头/袋装等配套件可带动二次成交</t>
        </is>
      </c>
      <c r="W101" s="32" t="inlineStr">
        <is>
          <t>谨慎试水：少量上架测款，只有当月出单才补货；写清「瑕疵/为什么低价」</t>
        </is>
      </c>
    </row>
    <row r="102" ht="58" customHeight="1">
      <c r="A102" s="25" t="n">
        <v>100</v>
      </c>
      <c r="B102" s="26" t="inlineStr">
        <is>
          <t>艾灸盒</t>
        </is>
      </c>
      <c r="C102" s="36" t="inlineStr">
        <is>
          <t>C</t>
        </is>
      </c>
      <c r="D102" s="28" t="n">
        <v>4.85</v>
      </c>
      <c r="E102" s="29" t="n">
        <v>20</v>
      </c>
      <c r="F102" s="29" t="n">
        <v>16</v>
      </c>
      <c r="G102" s="25" t="inlineStr">
        <is>
          <t>¥15–17</t>
        </is>
      </c>
      <c r="H102" s="29" t="n">
        <v>14</v>
      </c>
      <c r="I102" s="29" t="n">
        <v>15</v>
      </c>
      <c r="J102" s="29" t="n">
        <v>20</v>
      </c>
      <c r="K102" s="25" t="n">
        <v>2</v>
      </c>
      <c r="L102" s="25" t="n">
        <v>30</v>
      </c>
      <c r="M102" s="30" t="n">
        <v>0.4</v>
      </c>
      <c r="N102" s="31" t="n">
        <v>2.7</v>
      </c>
      <c r="O102" s="31" t="n">
        <v>6.1</v>
      </c>
      <c r="P102" s="31" t="n">
        <v>6.6</v>
      </c>
      <c r="Q102" s="31" t="n">
        <v>4</v>
      </c>
      <c r="R102" s="31" t="n">
        <v>4</v>
      </c>
      <c r="S102" s="31" t="n">
        <v>8</v>
      </c>
      <c r="T102" s="31" t="n">
        <v>4</v>
      </c>
      <c r="U102" s="26">
        <f>COUNTIF(SKU明细!D3:D607,B102)</f>
        <v>1.0</v>
      </c>
      <c r="V102" s="32" t="inlineStr">
        <is>
          <t>需求偏冷：「想要」人数中位数仅 2，自然流量薄弱，靠搜索自然成交难度大，需搭配低价或搭售；价格中等：全新竞品中位价 ¥20，主流带 ¥15–20，薄利走量，需控运损；竞争中等：Top30 中出现 0 个不同品牌，需要在主图和标题上做出差异；售后风险极低：非电器或耗材形态，基本无充电/质保/退货纠纷；宣称需克制：文案避免「治疗/根治/祛斑」等医疗功效词，用「清洁/护理/辅助」表述；该品类样本中未见自有品牌在售，属空白位——无内卷，但也需教育市场成本；新手友好：商品好描述、体积小发货轻、决策快，适合铺量上架</t>
        </is>
      </c>
      <c r="W102" s="32" t="inlineStr">
        <is>
          <t>谨慎试水：少量上架测款，只有当月出单才补货；写清「瑕疵/为什么低价」</t>
        </is>
      </c>
    </row>
    <row r="103" ht="58" customHeight="1">
      <c r="A103" s="25" t="n">
        <v>101</v>
      </c>
      <c r="B103" s="26" t="inlineStr">
        <is>
          <t>明目护眼液</t>
        </is>
      </c>
      <c r="C103" s="36" t="inlineStr">
        <is>
          <t>C</t>
        </is>
      </c>
      <c r="D103" s="28" t="n">
        <v>4.79</v>
      </c>
      <c r="E103" s="29" t="n">
        <v>38</v>
      </c>
      <c r="F103" s="29" t="n">
        <v>12</v>
      </c>
      <c r="G103" s="25" t="inlineStr">
        <is>
          <t>¥9–15</t>
        </is>
      </c>
      <c r="H103" s="29" t="n">
        <v>9</v>
      </c>
      <c r="I103" s="29" t="n">
        <v>13</v>
      </c>
      <c r="J103" s="29" t="n">
        <v>58</v>
      </c>
      <c r="K103" s="25" t="n">
        <v>2.5</v>
      </c>
      <c r="L103" s="25" t="n">
        <v>30</v>
      </c>
      <c r="M103" s="30" t="n">
        <v>0.83</v>
      </c>
      <c r="N103" s="31" t="n">
        <v>3</v>
      </c>
      <c r="O103" s="31" t="n">
        <v>7.3</v>
      </c>
      <c r="P103" s="31" t="n">
        <v>6.5</v>
      </c>
      <c r="Q103" s="31" t="n">
        <v>4</v>
      </c>
      <c r="R103" s="31" t="n">
        <v>0</v>
      </c>
      <c r="S103" s="31" t="n">
        <v>8</v>
      </c>
      <c r="T103" s="31" t="n">
        <v>7</v>
      </c>
      <c r="U103" s="26">
        <f>COUNTIF(SKU明细!D3:D607,B103)</f>
        <v>1.0</v>
      </c>
      <c r="V103" s="32" t="inlineStr">
        <is>
          <t>需求偏冷：「想要」人数中位数仅 2，自然流量薄弱，靠搜索自然成交难度大，需搭配低价或搭售；单件利润空间可观：全新竞品中位价 ¥38，P25–P75 主流带 ¥13–58，有腾挪定价空间；竞争中等：Top30 中出现 0 个不同品牌，需要在主图和标题上做出差异；售后风险极低：非电器或耗材形态，基本无充电/质保/退货纠纷；无资质门槛：上架无特殊资质要求，标题可自由发挥；有一定复购：刀头/磨头/袋装等配套件可带动二次成交；该品类样本中未见自有品牌在售，属空白位——无内卷，但也需教育市场成本；新手友好：商品好描述、体积小发货轻、决策快，适合铺量上架</t>
        </is>
      </c>
      <c r="W103" s="32" t="inlineStr">
        <is>
          <t>谨慎试水：少量上架测款，只有当月出单才补货；写清「瑕疵/为什么低价」</t>
        </is>
      </c>
    </row>
    <row r="104" ht="58" customHeight="1">
      <c r="A104" s="25" t="n">
        <v>102</v>
      </c>
      <c r="B104" s="26" t="inlineStr">
        <is>
          <t>暖宫护腰带</t>
        </is>
      </c>
      <c r="C104" s="36" t="inlineStr">
        <is>
          <t>C</t>
        </is>
      </c>
      <c r="D104" s="28" t="n">
        <v>4.77</v>
      </c>
      <c r="E104" s="29" t="n">
        <v>49</v>
      </c>
      <c r="F104" s="29" t="n">
        <v>28</v>
      </c>
      <c r="G104" s="25" t="inlineStr">
        <is>
          <t>¥19–36</t>
        </is>
      </c>
      <c r="H104" s="29" t="n">
        <v>18</v>
      </c>
      <c r="I104" s="29" t="n">
        <v>36</v>
      </c>
      <c r="J104" s="29" t="n">
        <v>59</v>
      </c>
      <c r="K104" s="25" t="n">
        <v>1.5</v>
      </c>
      <c r="L104" s="25" t="n">
        <v>30</v>
      </c>
      <c r="M104" s="30" t="n">
        <v>0.73</v>
      </c>
      <c r="N104" s="31" t="n">
        <v>1.6</v>
      </c>
      <c r="O104" s="31" t="n">
        <v>7.8</v>
      </c>
      <c r="P104" s="31" t="n">
        <v>6.9</v>
      </c>
      <c r="Q104" s="31" t="n">
        <v>3</v>
      </c>
      <c r="R104" s="31" t="n">
        <v>4</v>
      </c>
      <c r="S104" s="31" t="n">
        <v>8</v>
      </c>
      <c r="T104" s="31" t="n">
        <v>3</v>
      </c>
      <c r="U104" s="26">
        <f>COUNTIF(SKU明细!D3:D607,B104)</f>
        <v>13.0</v>
      </c>
      <c r="V104" s="32" t="inlineStr">
        <is>
          <t>需求偏冷：「想要」人数中位数仅 2，自然流量薄弱，靠搜索自然成交难度大，需搭配低价或搭售；单件利润空间可观：全新竞品中位价 ¥49，P25–P75 主流带 ¥36–59，有腾挪定价空间；竞争中等：Top30 中出现 4 个不同品牌，需要在主图和标题上做出差异；售后风险极低：非电器或耗材形态，基本无充电/质保/退货纠纷；宣称需克制：文案避免「治疗/根治/祛斑」等医疗功效词，用「清洁/护理/辅助」表述；该品类样本中未见自有品牌在售，属空白位——无内卷，但也需教育市场成本；新手友好：商品好描述、体积小发货轻、决策快，适合铺量上架</t>
        </is>
      </c>
      <c r="W104" s="32" t="inlineStr">
        <is>
          <t>谨慎试水：少量上架测款，只有当月出单才补货；写清「瑕疵/为什么低价」</t>
        </is>
      </c>
    </row>
    <row r="105" ht="58" customHeight="1">
      <c r="A105" s="25" t="n">
        <v>103</v>
      </c>
      <c r="B105" s="26" t="inlineStr">
        <is>
          <t>眼部护理仪</t>
        </is>
      </c>
      <c r="C105" s="36" t="inlineStr">
        <is>
          <t>C</t>
        </is>
      </c>
      <c r="D105" s="28" t="n">
        <v>4.72</v>
      </c>
      <c r="E105" s="29" t="n">
        <v>23</v>
      </c>
      <c r="F105" s="29" t="n">
        <v>16</v>
      </c>
      <c r="G105" s="25" t="inlineStr">
        <is>
          <t>¥15–18</t>
        </is>
      </c>
      <c r="H105" s="29" t="n">
        <v>14</v>
      </c>
      <c r="I105" s="29" t="n">
        <v>17</v>
      </c>
      <c r="J105" s="29" t="n">
        <v>30</v>
      </c>
      <c r="K105" s="25" t="n">
        <v>1.5</v>
      </c>
      <c r="L105" s="25" t="n">
        <v>30</v>
      </c>
      <c r="M105" s="30" t="n">
        <v>0.67</v>
      </c>
      <c r="N105" s="31" t="n">
        <v>1.6</v>
      </c>
      <c r="O105" s="31" t="n">
        <v>6.3</v>
      </c>
      <c r="P105" s="31" t="n">
        <v>7</v>
      </c>
      <c r="Q105" s="31" t="n">
        <v>4</v>
      </c>
      <c r="R105" s="31" t="n">
        <v>4</v>
      </c>
      <c r="S105" s="31" t="n">
        <v>7</v>
      </c>
      <c r="T105" s="31" t="n">
        <v>4</v>
      </c>
      <c r="U105" s="26">
        <f>COUNTIF(SKU明细!D3:D607,B105)</f>
        <v>5.0</v>
      </c>
      <c r="V105" s="32" t="inlineStr">
        <is>
          <t>需求偏冷：「想要」人数中位数仅 2，自然流量薄弱，靠搜索自然成交难度大，需搭配低价或搭售；价格中等：全新竞品中位价 ¥23，主流带 ¥17–30，薄利走量，需控运损；竞争温和：在售 Top30 覆盖 0 个品牌，格局分散，新链接有出头机会；售后风险极低：非电器或耗材形态，基本无充电/质保/退货纠纷；宣称需克制：文案避免「治疗/根治/祛斑」等医疗功效词，用「清洁/护理/辅助」表述；该品类样本中未见自有品牌在售，属空白位——无内卷，但也需教育市场成本</t>
        </is>
      </c>
      <c r="W105" s="32" t="inlineStr">
        <is>
          <t>谨慎试水：少量上架测款，只有当月出单才补货；写清「瑕疵/为什么低价」</t>
        </is>
      </c>
    </row>
    <row r="106" ht="58" customHeight="1">
      <c r="A106" s="25" t="n">
        <v>104</v>
      </c>
      <c r="B106" s="26" t="inlineStr">
        <is>
          <t>口腔护理慕斯</t>
        </is>
      </c>
      <c r="C106" s="36" t="inlineStr">
        <is>
          <t>C</t>
        </is>
      </c>
      <c r="D106" s="28" t="n">
        <v>4.65</v>
      </c>
      <c r="E106" s="29" t="n">
        <v>16</v>
      </c>
      <c r="F106" s="29" t="n">
        <v>10</v>
      </c>
      <c r="G106" s="25" t="inlineStr">
        <is>
          <t>¥9–12</t>
        </is>
      </c>
      <c r="H106" s="29" t="n">
        <v>9</v>
      </c>
      <c r="I106" s="29" t="n">
        <v>11</v>
      </c>
      <c r="J106" s="29" t="n">
        <v>22</v>
      </c>
      <c r="K106" s="25" t="n">
        <v>2</v>
      </c>
      <c r="L106" s="25" t="n">
        <v>30</v>
      </c>
      <c r="M106" s="30" t="n">
        <v>0.8</v>
      </c>
      <c r="N106" s="31" t="n">
        <v>1.9</v>
      </c>
      <c r="O106" s="31" t="n">
        <v>5.7</v>
      </c>
      <c r="P106" s="31" t="n">
        <v>6.9</v>
      </c>
      <c r="Q106" s="31" t="n">
        <v>5</v>
      </c>
      <c r="R106" s="31" t="n">
        <v>1</v>
      </c>
      <c r="S106" s="31" t="n">
        <v>8</v>
      </c>
      <c r="T106" s="31" t="n">
        <v>8</v>
      </c>
      <c r="U106" s="26">
        <f>COUNTIF(SKU明细!D3:D607,B106)</f>
        <v>2.0</v>
      </c>
      <c r="V106" s="32" t="inlineStr">
        <is>
          <t>需求偏冷：「想要」人数中位数仅 2，自然流量薄弱，靠搜索自然成交难度大，需搭配低价或搭售；价格中等：全新竞品中位价 ¥16，主流带 ¥11–22，薄利走量，需控运损；竞争中等：Top30 中出现 0 个不同品牌，需要在主图和标题上做出差异；售后可控：常规小家电，做好成色描述与功能实测视频即可；无资质门槛：上架无特殊资质要求，标题可自由发挥；耗材属性强：可与主机绑定做「主品+耗材」复购套餐，锁定回头客；该品类样本中未见自有品牌在售，属空白位——无内卷，但也需教育市场成本；新手友好：商品好描述、体积小发货轻、决策快，适合铺量上架</t>
        </is>
      </c>
      <c r="W106" s="32" t="inlineStr">
        <is>
          <t>谨慎试水：少量上架测款，只有当月出单才补货；写清「瑕疵/为什么低价」</t>
        </is>
      </c>
    </row>
  </sheetData>
  <autoFilter ref="A2:W106"/>
  <mergeCells count="1">
    <mergeCell ref="A1:W1"/>
  </mergeCells>
  <conditionalFormatting sqref="C3:C10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"B"</formula>
    </cfRule>
    <cfRule type="cellIs" priority="4" operator="equal" dxfId="3">
      <formula>"C"</formula>
    </cfRule>
    <cfRule type="cellIs" priority="5" operator="equal" dxfId="4">
      <formula>"D"</formula>
    </cfRule>
  </conditionalFormatting>
  <conditionalFormatting sqref="D3:D106">
    <cfRule type="colorScale" priority="6">
      <colorScale>
        <cfvo type="num" val="4"/>
        <cfvo type="num" val="6"/>
        <cfvo type="num" val="8"/>
        <color rgb="FFFFC7CE"/>
        <color rgb="FFFFEB9C"/>
        <color rgb="FF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N60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18" customWidth="1" min="4" max="4"/>
    <col width="26" customWidth="1" min="5" max="5"/>
    <col width="34" customWidth="1" min="6" max="6"/>
    <col width="16" customWidth="1" min="7" max="7"/>
    <col width="11" customWidth="1" min="8" max="8"/>
    <col width="12" customWidth="1" min="9" max="9"/>
    <col width="13" customWidth="1" min="10" max="10"/>
    <col width="12" customWidth="1" min="11" max="11"/>
    <col width="10" customWidth="1" min="12" max="12"/>
    <col width="10" customWidth="1" min="13" max="13"/>
    <col width="48" customWidth="1" min="14" max="14"/>
  </cols>
  <sheetData>
    <row r="1" ht="26" customHeight="1">
      <c r="A1" s="23" t="inlineStr">
        <is>
          <t>SKU 级选品清单（按评级与评分排序；建议售价=单件挂价起点，最低可接受价=含运费不亏的保本红线）</t>
        </is>
      </c>
    </row>
    <row r="2" ht="30" customHeight="1">
      <c r="A2" s="24" t="inlineStr">
        <is>
          <t>序号</t>
        </is>
      </c>
      <c r="B2" s="24" t="inlineStr">
        <is>
          <t>品牌</t>
        </is>
      </c>
      <c r="C2" s="24" t="inlineStr">
        <is>
          <t>评级</t>
        </is>
      </c>
      <c r="D2" s="24" t="inlineStr">
        <is>
          <t>品类</t>
        </is>
      </c>
      <c r="E2" s="24" t="inlineStr">
        <is>
          <t>产品名称</t>
        </is>
      </c>
      <c r="F2" s="24" t="inlineStr">
        <is>
          <t>商品名称</t>
        </is>
      </c>
      <c r="G2" s="24" t="inlineStr">
        <is>
          <t>商品编码</t>
        </is>
      </c>
      <c r="H2" s="24" t="inlineStr">
        <is>
          <t>建议售价</t>
        </is>
      </c>
      <c r="I2" s="24" t="inlineStr">
        <is>
          <t>建议区间</t>
        </is>
      </c>
      <c r="J2" s="24" t="inlineStr">
        <is>
          <t>最低可接受价</t>
        </is>
      </c>
      <c r="K2" s="24" t="inlineStr">
        <is>
          <t>竞品中位价</t>
        </is>
      </c>
      <c r="L2" s="24" t="inlineStr">
        <is>
          <t>想要中位</t>
        </is>
      </c>
      <c r="M2" s="24" t="inlineStr">
        <is>
          <t>综合评分</t>
        </is>
      </c>
      <c r="N2" s="24" t="inlineStr">
        <is>
          <t>行动建议</t>
        </is>
      </c>
    </row>
    <row r="3">
      <c r="A3" s="25" t="n">
        <v>1</v>
      </c>
      <c r="B3" s="25" t="inlineStr">
        <is>
          <t>mericle</t>
        </is>
      </c>
      <c r="C3" s="27" t="inlineStr">
        <is>
          <t>S</t>
        </is>
      </c>
      <c r="D3" s="26" t="inlineStr">
        <is>
          <t>剃须刀刀头</t>
        </is>
      </c>
      <c r="E3" s="26" t="inlineStr">
        <is>
          <t>刀头</t>
        </is>
      </c>
      <c r="F3" s="26" t="inlineStr">
        <is>
          <t>剃须刀/刀头（塑封）</t>
        </is>
      </c>
      <c r="G3" s="26" t="inlineStr">
        <is>
          <t>TXD-04</t>
        </is>
      </c>
      <c r="H3" s="29" t="n">
        <v>12</v>
      </c>
      <c r="I3" s="25" t="inlineStr">
        <is>
          <t>¥9–15</t>
        </is>
      </c>
      <c r="J3" s="29" t="n">
        <v>8</v>
      </c>
      <c r="K3" s="29" t="n">
        <v>15</v>
      </c>
      <c r="L3" s="37" t="n">
        <v>113</v>
      </c>
      <c r="M3" s="28" t="n">
        <v>8.17</v>
      </c>
      <c r="N3" s="32" t="inlineStr">
        <is>
          <t>全员力推，首批打满库存；标题带「全新未拆封+实拍」，主图放品牌背书</t>
        </is>
      </c>
    </row>
    <row r="4">
      <c r="A4" s="25" t="n">
        <v>2</v>
      </c>
      <c r="B4" s="25" t="inlineStr">
        <is>
          <t>mericle</t>
        </is>
      </c>
      <c r="C4" s="27" t="inlineStr">
        <is>
          <t>S</t>
        </is>
      </c>
      <c r="D4" s="26" t="inlineStr">
        <is>
          <t>剃须刀刀头</t>
        </is>
      </c>
      <c r="E4" s="26" t="inlineStr">
        <is>
          <t>mericle便携式剃须刀/刀头</t>
        </is>
      </c>
      <c r="F4" s="26" t="inlineStr">
        <is>
          <t>M/迷你剃须刀/二代/刀头</t>
        </is>
      </c>
      <c r="G4" s="26" t="inlineStr">
        <is>
          <t>TXD-38</t>
        </is>
      </c>
      <c r="H4" s="29" t="n">
        <v>12</v>
      </c>
      <c r="I4" s="25" t="inlineStr">
        <is>
          <t>¥9–15</t>
        </is>
      </c>
      <c r="J4" s="29" t="n">
        <v>8</v>
      </c>
      <c r="K4" s="29" t="n">
        <v>15</v>
      </c>
      <c r="L4" s="37" t="n">
        <v>113</v>
      </c>
      <c r="M4" s="28" t="n">
        <v>8.17</v>
      </c>
      <c r="N4" s="32" t="inlineStr">
        <is>
          <t>全员力推，首批打满库存；标题带「全新未拆封+实拍」，主图放品牌背书</t>
        </is>
      </c>
    </row>
    <row r="5">
      <c r="A5" s="25" t="n">
        <v>3</v>
      </c>
      <c r="B5" s="25" t="inlineStr">
        <is>
          <t>mericle</t>
        </is>
      </c>
      <c r="C5" s="27" t="inlineStr">
        <is>
          <t>S</t>
        </is>
      </c>
      <c r="D5" s="26" t="inlineStr">
        <is>
          <t>剃须刀刀头</t>
        </is>
      </c>
      <c r="E5" s="26" t="inlineStr">
        <is>
          <t>mericle鼻毛修剪器刀头</t>
        </is>
      </c>
      <c r="F5" s="26" t="inlineStr">
        <is>
          <t>美丽蔻BMXJQ  刀头</t>
        </is>
      </c>
      <c r="G5" s="26" t="inlineStr">
        <is>
          <t>Mericle-bmxjq001</t>
        </is>
      </c>
      <c r="H5" s="29" t="n">
        <v>12</v>
      </c>
      <c r="I5" s="25" t="inlineStr">
        <is>
          <t>¥9–15</t>
        </is>
      </c>
      <c r="J5" s="29" t="n">
        <v>8</v>
      </c>
      <c r="K5" s="29" t="n">
        <v>15</v>
      </c>
      <c r="L5" s="37" t="n">
        <v>113</v>
      </c>
      <c r="M5" s="28" t="n">
        <v>8.17</v>
      </c>
      <c r="N5" s="32" t="inlineStr">
        <is>
          <t>全员力推，首批打满库存；标题带「全新未拆封+实拍」，主图放品牌背书</t>
        </is>
      </c>
    </row>
    <row r="6">
      <c r="A6" s="25" t="n">
        <v>4</v>
      </c>
      <c r="B6" s="25" t="inlineStr">
        <is>
          <t>mericle</t>
        </is>
      </c>
      <c r="C6" s="27" t="inlineStr">
        <is>
          <t>S</t>
        </is>
      </c>
      <c r="D6" s="26" t="inlineStr">
        <is>
          <t>剃须刀刀头</t>
        </is>
      </c>
      <c r="E6" s="26" t="inlineStr">
        <is>
          <t>mericle鼻毛修剪器刀头</t>
        </is>
      </c>
      <c r="F6" s="26" t="inlineStr">
        <is>
          <t>Mericle/BMXJQ/黑色/刀头</t>
        </is>
      </c>
      <c r="G6" s="26" t="inlineStr">
        <is>
          <t>Mericle/BMXJQ/DT</t>
        </is>
      </c>
      <c r="H6" s="29" t="n">
        <v>12</v>
      </c>
      <c r="I6" s="25" t="inlineStr">
        <is>
          <t>¥9–15</t>
        </is>
      </c>
      <c r="J6" s="29" t="n">
        <v>8</v>
      </c>
      <c r="K6" s="29" t="n">
        <v>15</v>
      </c>
      <c r="L6" s="37" t="n">
        <v>113</v>
      </c>
      <c r="M6" s="28" t="n">
        <v>8.17</v>
      </c>
      <c r="N6" s="32" t="inlineStr">
        <is>
          <t>全员力推，首批打满库存；标题带「全新未拆封+实拍」，主图放品牌背书</t>
        </is>
      </c>
    </row>
    <row r="7">
      <c r="A7" s="25" t="n">
        <v>5</v>
      </c>
      <c r="B7" s="25" t="inlineStr">
        <is>
          <t>mericle</t>
        </is>
      </c>
      <c r="C7" s="27" t="inlineStr">
        <is>
          <t>S</t>
        </is>
      </c>
      <c r="D7" s="26" t="inlineStr">
        <is>
          <t>剃须刀刀头</t>
        </is>
      </c>
      <c r="E7" s="26" t="inlineStr">
        <is>
          <t>mericle鼻毛修剪器刀头</t>
        </is>
      </c>
      <c r="F7" s="26" t="inlineStr">
        <is>
          <t>Mericle/BMXJQ/二代刀头</t>
        </is>
      </c>
      <c r="G7" s="26" t="inlineStr">
        <is>
          <t>Mericle/BMXJQ/002</t>
        </is>
      </c>
      <c r="H7" s="29" t="n">
        <v>12</v>
      </c>
      <c r="I7" s="25" t="inlineStr">
        <is>
          <t>¥9–15</t>
        </is>
      </c>
      <c r="J7" s="29" t="n">
        <v>8</v>
      </c>
      <c r="K7" s="29" t="n">
        <v>15</v>
      </c>
      <c r="L7" s="37" t="n">
        <v>113</v>
      </c>
      <c r="M7" s="28" t="n">
        <v>8.17</v>
      </c>
      <c r="N7" s="32" t="inlineStr">
        <is>
          <t>全员力推，首批打满库存；标题带「全新未拆封+实拍」，主图放品牌背书</t>
        </is>
      </c>
    </row>
    <row r="8">
      <c r="A8" s="25" t="n">
        <v>6</v>
      </c>
      <c r="B8" s="25" t="inlineStr">
        <is>
          <t>mericle</t>
        </is>
      </c>
      <c r="C8" s="27" t="inlineStr">
        <is>
          <t>S</t>
        </is>
      </c>
      <c r="D8" s="26" t="inlineStr">
        <is>
          <t>剃须刀刀头</t>
        </is>
      </c>
      <c r="E8" s="26" t="inlineStr">
        <is>
          <t>康佳鼻毛修剪器刀头</t>
        </is>
      </c>
      <c r="F8" s="26" t="inlineStr">
        <is>
          <t>康佳/BMXJQ/二代/刀头</t>
        </is>
      </c>
      <c r="G8" s="26" t="inlineStr">
        <is>
          <t>BMXJQ-07</t>
        </is>
      </c>
      <c r="H8" s="29" t="n">
        <v>12</v>
      </c>
      <c r="I8" s="25" t="inlineStr">
        <is>
          <t>¥9–15</t>
        </is>
      </c>
      <c r="J8" s="29" t="n">
        <v>8</v>
      </c>
      <c r="K8" s="29" t="n">
        <v>15</v>
      </c>
      <c r="L8" s="37" t="n">
        <v>113</v>
      </c>
      <c r="M8" s="28" t="n">
        <v>8.17</v>
      </c>
      <c r="N8" s="32" t="inlineStr">
        <is>
          <t>全员力推，首批打满库存；标题带「全新未拆封+实拍」，主图放品牌背书</t>
        </is>
      </c>
    </row>
    <row r="9">
      <c r="A9" s="25" t="n">
        <v>7</v>
      </c>
      <c r="B9" s="25" t="inlineStr">
        <is>
          <t>mericle</t>
        </is>
      </c>
      <c r="C9" s="27" t="inlineStr">
        <is>
          <t>S</t>
        </is>
      </c>
      <c r="D9" s="26" t="inlineStr">
        <is>
          <t>剃须刀刀头</t>
        </is>
      </c>
      <c r="E9" s="26" t="inlineStr">
        <is>
          <t>mericle鼻毛修剪器刀头</t>
        </is>
      </c>
      <c r="F9" s="26" t="inlineStr">
        <is>
          <t>M/BMXJQ/五代/刀头</t>
        </is>
      </c>
      <c r="G9" s="26" t="inlineStr">
        <is>
          <t>BMXJQ-16</t>
        </is>
      </c>
      <c r="H9" s="29" t="n">
        <v>12</v>
      </c>
      <c r="I9" s="25" t="inlineStr">
        <is>
          <t>¥9–15</t>
        </is>
      </c>
      <c r="J9" s="29" t="n">
        <v>8</v>
      </c>
      <c r="K9" s="29" t="n">
        <v>15</v>
      </c>
      <c r="L9" s="37" t="n">
        <v>113</v>
      </c>
      <c r="M9" s="28" t="n">
        <v>8.17</v>
      </c>
      <c r="N9" s="32" t="inlineStr">
        <is>
          <t>全员力推，首批打满库存；标题带「全新未拆封+实拍」，主图放品牌背书</t>
        </is>
      </c>
    </row>
    <row r="10">
      <c r="A10" s="25" t="n">
        <v>8</v>
      </c>
      <c r="B10" s="25" t="inlineStr">
        <is>
          <t>mericle</t>
        </is>
      </c>
      <c r="C10" s="27" t="inlineStr">
        <is>
          <t>S</t>
        </is>
      </c>
      <c r="D10" s="26" t="inlineStr">
        <is>
          <t>剃须刀刀头</t>
        </is>
      </c>
      <c r="E10" s="26" t="inlineStr">
        <is>
          <t>剃须刀刀头</t>
        </is>
      </c>
      <c r="F10" s="26" t="inlineStr">
        <is>
          <t>Mericle/透明双头剃须刀/刀头</t>
        </is>
      </c>
      <c r="G10" s="26" t="inlineStr">
        <is>
          <t>TXD-92</t>
        </is>
      </c>
      <c r="H10" s="29" t="n">
        <v>12</v>
      </c>
      <c r="I10" s="25" t="inlineStr">
        <is>
          <t>¥9–15</t>
        </is>
      </c>
      <c r="J10" s="29" t="n">
        <v>8</v>
      </c>
      <c r="K10" s="29" t="n">
        <v>15</v>
      </c>
      <c r="L10" s="37" t="n">
        <v>113</v>
      </c>
      <c r="M10" s="28" t="n">
        <v>8.17</v>
      </c>
      <c r="N10" s="32" t="inlineStr">
        <is>
          <t>全员力推，首批打满库存；标题带「全新未拆封+实拍」，主图放品牌背书</t>
        </is>
      </c>
    </row>
    <row r="11">
      <c r="A11" s="25" t="n">
        <v>9</v>
      </c>
      <c r="B11" s="25" t="inlineStr">
        <is>
          <t>mericle</t>
        </is>
      </c>
      <c r="C11" s="27" t="inlineStr">
        <is>
          <t>S</t>
        </is>
      </c>
      <c r="D11" s="26" t="inlineStr">
        <is>
          <t>剃须刀刀头</t>
        </is>
      </c>
      <c r="E11" s="26" t="inlineStr">
        <is>
          <t>刀头</t>
        </is>
      </c>
      <c r="F11" s="26" t="inlineStr">
        <is>
          <t>多功能剃须刀YC-808/刀头</t>
        </is>
      </c>
      <c r="G11" s="26" t="inlineStr">
        <is>
          <t>TXD-138</t>
        </is>
      </c>
      <c r="H11" s="29" t="n">
        <v>12</v>
      </c>
      <c r="I11" s="25" t="inlineStr">
        <is>
          <t>¥9–15</t>
        </is>
      </c>
      <c r="J11" s="29" t="n">
        <v>8</v>
      </c>
      <c r="K11" s="29" t="n">
        <v>15</v>
      </c>
      <c r="L11" s="37" t="n">
        <v>113</v>
      </c>
      <c r="M11" s="28" t="n">
        <v>8.17</v>
      </c>
      <c r="N11" s="32" t="inlineStr">
        <is>
          <t>全员力推，首批打满库存；标题带「全新未拆封+实拍」，主图放品牌背书</t>
        </is>
      </c>
    </row>
    <row r="12">
      <c r="A12" s="25" t="n">
        <v>10</v>
      </c>
      <c r="B12" s="25" t="inlineStr">
        <is>
          <t>mericle</t>
        </is>
      </c>
      <c r="C12" s="27" t="inlineStr">
        <is>
          <t>S</t>
        </is>
      </c>
      <c r="D12" s="26" t="inlineStr">
        <is>
          <t>剃须刀刀头</t>
        </is>
      </c>
      <c r="E12" s="26" t="inlineStr">
        <is>
          <t>毛球修剪器刀头</t>
        </is>
      </c>
      <c r="F12" s="26" t="inlineStr">
        <is>
          <t>Mericle/毛球修剪器01/刀头</t>
        </is>
      </c>
      <c r="G12" s="26" t="inlineStr">
        <is>
          <t>MQXJQ-11</t>
        </is>
      </c>
      <c r="H12" s="29" t="n">
        <v>12</v>
      </c>
      <c r="I12" s="25" t="inlineStr">
        <is>
          <t>¥9–15</t>
        </is>
      </c>
      <c r="J12" s="29" t="n">
        <v>8</v>
      </c>
      <c r="K12" s="29" t="n">
        <v>15</v>
      </c>
      <c r="L12" s="37" t="n">
        <v>113</v>
      </c>
      <c r="M12" s="28" t="n">
        <v>8.17</v>
      </c>
      <c r="N12" s="32" t="inlineStr">
        <is>
          <t>全员力推，首批打满库存；标题带「全新未拆封+实拍」，主图放品牌背书</t>
        </is>
      </c>
    </row>
    <row r="13">
      <c r="A13" s="25" t="n">
        <v>11</v>
      </c>
      <c r="B13" s="25" t="inlineStr">
        <is>
          <t>mericle</t>
        </is>
      </c>
      <c r="C13" s="27" t="inlineStr">
        <is>
          <t>S</t>
        </is>
      </c>
      <c r="D13" s="26" t="inlineStr">
        <is>
          <t>剃须刀刀头</t>
        </is>
      </c>
      <c r="E13" s="26" t="inlineStr">
        <is>
          <t>手动刮胡刀刀头</t>
        </is>
      </c>
      <c r="F13" s="26" t="inlineStr">
        <is>
          <t>Mericle/手动剃须刀/MSD-001/刀头</t>
        </is>
      </c>
      <c r="G13" s="26" t="inlineStr">
        <is>
          <t>TXD-123</t>
        </is>
      </c>
      <c r="H13" s="29" t="n">
        <v>12</v>
      </c>
      <c r="I13" s="25" t="inlineStr">
        <is>
          <t>¥9–15</t>
        </is>
      </c>
      <c r="J13" s="29" t="n">
        <v>8</v>
      </c>
      <c r="K13" s="29" t="n">
        <v>15</v>
      </c>
      <c r="L13" s="37" t="n">
        <v>113</v>
      </c>
      <c r="M13" s="28" t="n">
        <v>8.17</v>
      </c>
      <c r="N13" s="32" t="inlineStr">
        <is>
          <t>全员力推，首批打满库存；标题带「全新未拆封+实拍」，主图放品牌背书</t>
        </is>
      </c>
    </row>
    <row r="14">
      <c r="A14" s="25" t="n">
        <v>12</v>
      </c>
      <c r="B14" s="25" t="inlineStr">
        <is>
          <t>康佳</t>
        </is>
      </c>
      <c r="C14" s="27" t="inlineStr">
        <is>
          <t>S</t>
        </is>
      </c>
      <c r="D14" s="26" t="inlineStr">
        <is>
          <t>剃须刀刀头</t>
        </is>
      </c>
      <c r="E14" s="26" t="inlineStr">
        <is>
          <t>康佳便携式剃须刀刀头</t>
        </is>
      </c>
      <c r="F14" s="26" t="inlineStr">
        <is>
          <t>剃须刀/刀头（塑封）</t>
        </is>
      </c>
      <c r="G14" s="26" t="inlineStr">
        <is>
          <t>TXD-04</t>
        </is>
      </c>
      <c r="H14" s="29" t="n">
        <v>12</v>
      </c>
      <c r="I14" s="25" t="inlineStr">
        <is>
          <t>¥9–15</t>
        </is>
      </c>
      <c r="J14" s="29" t="n">
        <v>8</v>
      </c>
      <c r="K14" s="29" t="n">
        <v>15</v>
      </c>
      <c r="L14" s="37" t="n">
        <v>113</v>
      </c>
      <c r="M14" s="28" t="n">
        <v>8.17</v>
      </c>
      <c r="N14" s="32" t="inlineStr">
        <is>
          <t>全员力推，首批打满库存；标题带「全新未拆封+实拍」，主图放品牌背书</t>
        </is>
      </c>
    </row>
    <row r="15">
      <c r="A15" s="25" t="n">
        <v>13</v>
      </c>
      <c r="B15" s="25" t="inlineStr">
        <is>
          <t>康佳</t>
        </is>
      </c>
      <c r="C15" s="27" t="inlineStr">
        <is>
          <t>S</t>
        </is>
      </c>
      <c r="D15" s="26" t="inlineStr">
        <is>
          <t>剃须刀刀头</t>
        </is>
      </c>
      <c r="E15" s="26" t="inlineStr">
        <is>
          <t>康佳鼻毛修剪器刀头</t>
        </is>
      </c>
      <c r="F15" s="26" t="inlineStr">
        <is>
          <t>康佳/BMXJQ/二代/刀头</t>
        </is>
      </c>
      <c r="G15" s="26" t="inlineStr">
        <is>
          <t>BMXJQ-07</t>
        </is>
      </c>
      <c r="H15" s="29" t="n">
        <v>12</v>
      </c>
      <c r="I15" s="25" t="inlineStr">
        <is>
          <t>¥9–15</t>
        </is>
      </c>
      <c r="J15" s="29" t="n">
        <v>8</v>
      </c>
      <c r="K15" s="29" t="n">
        <v>15</v>
      </c>
      <c r="L15" s="37" t="n">
        <v>113</v>
      </c>
      <c r="M15" s="28" t="n">
        <v>8.17</v>
      </c>
      <c r="N15" s="32" t="inlineStr">
        <is>
          <t>全员力推，首批打满库存；标题带「全新未拆封+实拍」，主图放品牌背书</t>
        </is>
      </c>
    </row>
    <row r="16">
      <c r="A16" s="25" t="n">
        <v>14</v>
      </c>
      <c r="B16" s="25" t="inlineStr">
        <is>
          <t>康佳</t>
        </is>
      </c>
      <c r="C16" s="27" t="inlineStr">
        <is>
          <t>S</t>
        </is>
      </c>
      <c r="D16" s="26" t="inlineStr">
        <is>
          <t>剃须刀刀头</t>
        </is>
      </c>
      <c r="E16" s="26" t="inlineStr">
        <is>
          <t>康佳鼻毛修剪器刀头</t>
        </is>
      </c>
      <c r="F16" s="26" t="inlineStr">
        <is>
          <t>康佳/电动BMXJQ/刀头</t>
        </is>
      </c>
      <c r="G16" s="26" t="inlineStr">
        <is>
          <t>BMXJQ-10</t>
        </is>
      </c>
      <c r="H16" s="29" t="n">
        <v>12</v>
      </c>
      <c r="I16" s="25" t="inlineStr">
        <is>
          <t>¥9–15</t>
        </is>
      </c>
      <c r="J16" s="29" t="n">
        <v>8</v>
      </c>
      <c r="K16" s="29" t="n">
        <v>15</v>
      </c>
      <c r="L16" s="37" t="n">
        <v>113</v>
      </c>
      <c r="M16" s="28" t="n">
        <v>8.17</v>
      </c>
      <c r="N16" s="32" t="inlineStr">
        <is>
          <t>全员力推，首批打满库存；标题带「全新未拆封+实拍」，主图放品牌背书</t>
        </is>
      </c>
    </row>
    <row r="17">
      <c r="A17" s="25" t="n">
        <v>15</v>
      </c>
      <c r="B17" s="25" t="inlineStr">
        <is>
          <t>康佳</t>
        </is>
      </c>
      <c r="C17" s="27" t="inlineStr">
        <is>
          <t>S</t>
        </is>
      </c>
      <c r="D17" s="26" t="inlineStr">
        <is>
          <t>剃须刀刀头</t>
        </is>
      </c>
      <c r="E17" s="26" t="inlineStr">
        <is>
          <t>康佳鼻毛修剪器刀头</t>
        </is>
      </c>
      <c r="F17" s="26" t="inlineStr">
        <is>
          <t>康佳/BMXJQ/六代/刀头</t>
        </is>
      </c>
      <c r="G17" s="26" t="inlineStr">
        <is>
          <t>BMXJQ-23</t>
        </is>
      </c>
      <c r="H17" s="29" t="n">
        <v>12</v>
      </c>
      <c r="I17" s="25" t="inlineStr">
        <is>
          <t>¥9–15</t>
        </is>
      </c>
      <c r="J17" s="29" t="n">
        <v>8</v>
      </c>
      <c r="K17" s="29" t="n">
        <v>15</v>
      </c>
      <c r="L17" s="37" t="n">
        <v>113</v>
      </c>
      <c r="M17" s="28" t="n">
        <v>8.17</v>
      </c>
      <c r="N17" s="32" t="inlineStr">
        <is>
          <t>全员力推，首批打满库存；标题带「全新未拆封+实拍」，主图放品牌背书</t>
        </is>
      </c>
    </row>
    <row r="18">
      <c r="A18" s="25" t="n">
        <v>16</v>
      </c>
      <c r="B18" s="25" t="inlineStr">
        <is>
          <t>康佳</t>
        </is>
      </c>
      <c r="C18" s="27" t="inlineStr">
        <is>
          <t>S</t>
        </is>
      </c>
      <c r="D18" s="26" t="inlineStr">
        <is>
          <t>剃须刀刀头</t>
        </is>
      </c>
      <c r="E18" s="26" t="inlineStr">
        <is>
          <t>康佳便携式剃须刀头</t>
        </is>
      </c>
      <c r="F18" s="26" t="inlineStr">
        <is>
          <t>双环刀头</t>
        </is>
      </c>
      <c r="G18" s="26" t="inlineStr">
        <is>
          <t>TXD-62</t>
        </is>
      </c>
      <c r="H18" s="29" t="n">
        <v>12</v>
      </c>
      <c r="I18" s="25" t="inlineStr">
        <is>
          <t>¥9–15</t>
        </is>
      </c>
      <c r="J18" s="29" t="n">
        <v>8</v>
      </c>
      <c r="K18" s="29" t="n">
        <v>15</v>
      </c>
      <c r="L18" s="37" t="n">
        <v>113</v>
      </c>
      <c r="M18" s="28" t="n">
        <v>8.17</v>
      </c>
      <c r="N18" s="32" t="inlineStr">
        <is>
          <t>全员力推，首批打满库存；标题带「全新未拆封+实拍」，主图放品牌背书</t>
        </is>
      </c>
    </row>
    <row r="19">
      <c r="A19" s="25" t="n">
        <v>17</v>
      </c>
      <c r="B19" s="25" t="inlineStr">
        <is>
          <t>康佳</t>
        </is>
      </c>
      <c r="C19" s="27" t="inlineStr">
        <is>
          <t>S</t>
        </is>
      </c>
      <c r="D19" s="26" t="inlineStr">
        <is>
          <t>剃须刀刀头</t>
        </is>
      </c>
      <c r="E19" s="26" t="inlineStr">
        <is>
          <t>康佳便携式剃须刀头</t>
        </is>
      </c>
      <c r="F19" s="26" t="inlineStr">
        <is>
          <t>双环刀头</t>
        </is>
      </c>
      <c r="G19" s="26" t="inlineStr">
        <is>
          <t>TXD-62</t>
        </is>
      </c>
      <c r="H19" s="29" t="n">
        <v>12</v>
      </c>
      <c r="I19" s="25" t="inlineStr">
        <is>
          <t>¥9–15</t>
        </is>
      </c>
      <c r="J19" s="29" t="n">
        <v>8</v>
      </c>
      <c r="K19" s="29" t="n">
        <v>15</v>
      </c>
      <c r="L19" s="37" t="n">
        <v>113</v>
      </c>
      <c r="M19" s="28" t="n">
        <v>8.17</v>
      </c>
      <c r="N19" s="32" t="inlineStr">
        <is>
          <t>全员力推，首批打满库存；标题带「全新未拆封+实拍」，主图放品牌背书</t>
        </is>
      </c>
    </row>
    <row r="20">
      <c r="A20" s="25" t="n">
        <v>18</v>
      </c>
      <c r="B20" s="25" t="inlineStr">
        <is>
          <t>康佳</t>
        </is>
      </c>
      <c r="C20" s="27" t="inlineStr">
        <is>
          <t>S</t>
        </is>
      </c>
      <c r="D20" s="26" t="inlineStr">
        <is>
          <t>剃须刀刀头</t>
        </is>
      </c>
      <c r="E20" s="26" t="inlineStr">
        <is>
          <t>剃须刀刀头</t>
        </is>
      </c>
      <c r="F20" s="26" t="inlineStr">
        <is>
          <t>康佳/透明双头剃须刀/刀头</t>
        </is>
      </c>
      <c r="G20" s="26" t="inlineStr">
        <is>
          <t>TXD-66</t>
        </is>
      </c>
      <c r="H20" s="29" t="n">
        <v>12</v>
      </c>
      <c r="I20" s="25" t="inlineStr">
        <is>
          <t>¥9–15</t>
        </is>
      </c>
      <c r="J20" s="29" t="n">
        <v>8</v>
      </c>
      <c r="K20" s="29" t="n">
        <v>15</v>
      </c>
      <c r="L20" s="37" t="n">
        <v>113</v>
      </c>
      <c r="M20" s="28" t="n">
        <v>8.17</v>
      </c>
      <c r="N20" s="32" t="inlineStr">
        <is>
          <t>全员力推，首批打满库存；标题带「全新未拆封+实拍」，主图放品牌背书</t>
        </is>
      </c>
    </row>
    <row r="21">
      <c r="A21" s="25" t="n">
        <v>19</v>
      </c>
      <c r="B21" s="25" t="inlineStr">
        <is>
          <t>康佳</t>
        </is>
      </c>
      <c r="C21" s="27" t="inlineStr">
        <is>
          <t>S</t>
        </is>
      </c>
      <c r="D21" s="26" t="inlineStr">
        <is>
          <t>剃须刀刀头</t>
        </is>
      </c>
      <c r="E21" s="26" t="inlineStr">
        <is>
          <t>康佳鼻毛修剪器刀头</t>
        </is>
      </c>
      <c r="F21" s="26" t="inlineStr">
        <is>
          <t>康佳/电动BMXJQ/刀头</t>
        </is>
      </c>
      <c r="G21" s="26" t="inlineStr">
        <is>
          <t>BMXJQ-10</t>
        </is>
      </c>
      <c r="H21" s="29" t="n">
        <v>12</v>
      </c>
      <c r="I21" s="25" t="inlineStr">
        <is>
          <t>¥9–15</t>
        </is>
      </c>
      <c r="J21" s="29" t="n">
        <v>8</v>
      </c>
      <c r="K21" s="29" t="n">
        <v>15</v>
      </c>
      <c r="L21" s="37" t="n">
        <v>113</v>
      </c>
      <c r="M21" s="28" t="n">
        <v>8.17</v>
      </c>
      <c r="N21" s="32" t="inlineStr">
        <is>
          <t>全员力推，首批打满库存；标题带「全新未拆封+实拍」，主图放品牌背书</t>
        </is>
      </c>
    </row>
    <row r="22">
      <c r="A22" s="25" t="n">
        <v>20</v>
      </c>
      <c r="B22" s="25" t="inlineStr">
        <is>
          <t>现代</t>
        </is>
      </c>
      <c r="C22" s="27" t="inlineStr">
        <is>
          <t>S</t>
        </is>
      </c>
      <c r="D22" s="26" t="inlineStr">
        <is>
          <t>剃须刀刀头</t>
        </is>
      </c>
      <c r="E22" s="26" t="inlineStr">
        <is>
          <t>康佳鼻毛修剪器刀头</t>
        </is>
      </c>
      <c r="F22" s="26" t="inlineStr">
        <is>
          <t>康佳/BMXJQ/六代/刀头</t>
        </is>
      </c>
      <c r="G22" s="26" t="inlineStr">
        <is>
          <t>BMXJQ-23</t>
        </is>
      </c>
      <c r="H22" s="29" t="n">
        <v>12</v>
      </c>
      <c r="I22" s="25" t="inlineStr">
        <is>
          <t>¥9–15</t>
        </is>
      </c>
      <c r="J22" s="29" t="n">
        <v>8</v>
      </c>
      <c r="K22" s="29" t="n">
        <v>15</v>
      </c>
      <c r="L22" s="37" t="n">
        <v>113</v>
      </c>
      <c r="M22" s="28" t="n">
        <v>8.17</v>
      </c>
      <c r="N22" s="32" t="inlineStr">
        <is>
          <t>全员力推，首批打满库存；标题带「全新未拆封+实拍」，主图放品牌背书</t>
        </is>
      </c>
    </row>
    <row r="23">
      <c r="A23" s="25" t="n">
        <v>21</v>
      </c>
      <c r="B23" s="25" t="inlineStr">
        <is>
          <t>夏新</t>
        </is>
      </c>
      <c r="C23" s="27" t="inlineStr">
        <is>
          <t>S</t>
        </is>
      </c>
      <c r="D23" s="26" t="inlineStr">
        <is>
          <t>剃须刀刀头</t>
        </is>
      </c>
      <c r="E23" s="26" t="inlineStr">
        <is>
          <t>研磨机刀头</t>
        </is>
      </c>
      <c r="F23" s="26" t="inlineStr">
        <is>
          <t>夏新/研磨机/A010/刀头</t>
        </is>
      </c>
      <c r="G23" s="26" t="inlineStr">
        <is>
          <t>YMJ-02</t>
        </is>
      </c>
      <c r="H23" s="29" t="n">
        <v>12</v>
      </c>
      <c r="I23" s="25" t="inlineStr">
        <is>
          <t>¥9–15</t>
        </is>
      </c>
      <c r="J23" s="29" t="n">
        <v>8</v>
      </c>
      <c r="K23" s="29" t="n">
        <v>15</v>
      </c>
      <c r="L23" s="37" t="n">
        <v>113</v>
      </c>
      <c r="M23" s="28" t="n">
        <v>8.17</v>
      </c>
      <c r="N23" s="32" t="inlineStr">
        <is>
          <t>全员力推，首批打满库存；标题带「全新未拆封+实拍」，主图放品牌背书</t>
        </is>
      </c>
    </row>
    <row r="24">
      <c r="A24" s="25" t="n">
        <v>22</v>
      </c>
      <c r="B24" s="25" t="inlineStr">
        <is>
          <t>夏新</t>
        </is>
      </c>
      <c r="C24" s="27" t="inlineStr">
        <is>
          <t>S</t>
        </is>
      </c>
      <c r="D24" s="26" t="inlineStr">
        <is>
          <t>剃须刀刀头</t>
        </is>
      </c>
      <c r="E24" s="26" t="inlineStr">
        <is>
          <t>刀头</t>
        </is>
      </c>
      <c r="F24" s="26" t="inlineStr">
        <is>
          <t>多功能剃须刀YC-808/刀头</t>
        </is>
      </c>
      <c r="G24" s="26" t="inlineStr">
        <is>
          <t>TXD-138</t>
        </is>
      </c>
      <c r="H24" s="29" t="n">
        <v>12</v>
      </c>
      <c r="I24" s="25" t="inlineStr">
        <is>
          <t>¥9–15</t>
        </is>
      </c>
      <c r="J24" s="29" t="n">
        <v>8</v>
      </c>
      <c r="K24" s="29" t="n">
        <v>15</v>
      </c>
      <c r="L24" s="37" t="n">
        <v>113</v>
      </c>
      <c r="M24" s="28" t="n">
        <v>8.17</v>
      </c>
      <c r="N24" s="32" t="inlineStr">
        <is>
          <t>全员力推，首批打满库存；标题带「全新未拆封+实拍」，主图放品牌背书</t>
        </is>
      </c>
    </row>
    <row r="25">
      <c r="A25" s="25" t="n">
        <v>23</v>
      </c>
      <c r="B25" s="25" t="inlineStr">
        <is>
          <t>夏新</t>
        </is>
      </c>
      <c r="C25" s="27" t="inlineStr">
        <is>
          <t>S</t>
        </is>
      </c>
      <c r="D25" s="26" t="inlineStr">
        <is>
          <t>剃须刀刀头</t>
        </is>
      </c>
      <c r="E25" s="26" t="inlineStr">
        <is>
          <t>研磨机刀头</t>
        </is>
      </c>
      <c r="F25" s="26" t="inlineStr">
        <is>
          <t>夏新/研磨机HJS-1833/刀头</t>
        </is>
      </c>
      <c r="G25" s="26" t="inlineStr">
        <is>
          <t>YMJ-05</t>
        </is>
      </c>
      <c r="H25" s="29" t="n">
        <v>12</v>
      </c>
      <c r="I25" s="25" t="inlineStr">
        <is>
          <t>¥9–15</t>
        </is>
      </c>
      <c r="J25" s="29" t="n">
        <v>8</v>
      </c>
      <c r="K25" s="29" t="n">
        <v>15</v>
      </c>
      <c r="L25" s="37" t="n">
        <v>113</v>
      </c>
      <c r="M25" s="28" t="n">
        <v>8.17</v>
      </c>
      <c r="N25" s="32" t="inlineStr">
        <is>
          <t>全员力推，首批打满库存；标题带「全新未拆封+实拍」，主图放品牌背书</t>
        </is>
      </c>
    </row>
    <row r="26">
      <c r="A26" s="25" t="n">
        <v>24</v>
      </c>
      <c r="B26" s="25" t="inlineStr">
        <is>
          <t>夏新</t>
        </is>
      </c>
      <c r="C26" s="33" t="inlineStr">
        <is>
          <t>A</t>
        </is>
      </c>
      <c r="D26" s="26" t="inlineStr">
        <is>
          <t>真空封口机</t>
        </is>
      </c>
      <c r="E26" s="26" t="inlineStr">
        <is>
          <t>抽真空封口机</t>
        </is>
      </c>
      <c r="F26" s="26" t="inlineStr">
        <is>
          <t>夏新/封口机/绿色</t>
        </is>
      </c>
      <c r="G26" s="26" t="inlineStr">
        <is>
          <t>XX-FKJ-L</t>
        </is>
      </c>
      <c r="H26" s="29" t="n">
        <v>26</v>
      </c>
      <c r="I26" s="25" t="inlineStr">
        <is>
          <t>¥24–29</t>
        </is>
      </c>
      <c r="J26" s="29" t="n">
        <v>15</v>
      </c>
      <c r="K26" s="29" t="n">
        <v>29</v>
      </c>
      <c r="L26" s="37" t="n">
        <v>78</v>
      </c>
      <c r="M26" s="28" t="n">
        <v>7.11</v>
      </c>
      <c r="N26" s="32" t="inlineStr">
        <is>
          <t>重点铺货，建议配 3-5 个颜色SKU组套出图；可做「主推+搭售」组合</t>
        </is>
      </c>
    </row>
    <row r="27">
      <c r="A27" s="25" t="n">
        <v>25</v>
      </c>
      <c r="B27" s="25" t="inlineStr">
        <is>
          <t>夏新</t>
        </is>
      </c>
      <c r="C27" s="33" t="inlineStr">
        <is>
          <t>A</t>
        </is>
      </c>
      <c r="D27" s="26" t="inlineStr">
        <is>
          <t>真空封口机</t>
        </is>
      </c>
      <c r="E27" s="26" t="inlineStr">
        <is>
          <t>抽真空封口机</t>
        </is>
      </c>
      <c r="F27" s="26" t="inlineStr">
        <is>
          <t>夏新/封口机/紫色</t>
        </is>
      </c>
      <c r="G27" s="26" t="inlineStr">
        <is>
          <t>XX-FKJ-Z</t>
        </is>
      </c>
      <c r="H27" s="29" t="n">
        <v>26</v>
      </c>
      <c r="I27" s="25" t="inlineStr">
        <is>
          <t>¥24–29</t>
        </is>
      </c>
      <c r="J27" s="29" t="n">
        <v>15</v>
      </c>
      <c r="K27" s="29" t="n">
        <v>29</v>
      </c>
      <c r="L27" s="37" t="n">
        <v>78</v>
      </c>
      <c r="M27" s="28" t="n">
        <v>7.11</v>
      </c>
      <c r="N27" s="32" t="inlineStr">
        <is>
          <t>重点铺货，建议配 3-5 个颜色SKU组套出图；可做「主推+搭售」组合</t>
        </is>
      </c>
    </row>
    <row r="28">
      <c r="A28" s="25" t="n">
        <v>26</v>
      </c>
      <c r="B28" s="25" t="inlineStr">
        <is>
          <t>夏新</t>
        </is>
      </c>
      <c r="C28" s="33" t="inlineStr">
        <is>
          <t>A</t>
        </is>
      </c>
      <c r="D28" s="26" t="inlineStr">
        <is>
          <t>真空封口机</t>
        </is>
      </c>
      <c r="E28" s="26" t="inlineStr">
        <is>
          <t>抽真空封口机</t>
        </is>
      </c>
      <c r="F28" s="26" t="inlineStr">
        <is>
          <t>夏新/封口机/米黄色</t>
        </is>
      </c>
      <c r="G28" s="26" t="inlineStr">
        <is>
          <t>XX-FKJ-H</t>
        </is>
      </c>
      <c r="H28" s="29" t="n">
        <v>26</v>
      </c>
      <c r="I28" s="25" t="inlineStr">
        <is>
          <t>¥24–29</t>
        </is>
      </c>
      <c r="J28" s="29" t="n">
        <v>15</v>
      </c>
      <c r="K28" s="29" t="n">
        <v>29</v>
      </c>
      <c r="L28" s="37" t="n">
        <v>78</v>
      </c>
      <c r="M28" s="28" t="n">
        <v>7.11</v>
      </c>
      <c r="N28" s="32" t="inlineStr">
        <is>
          <t>重点铺货，建议配 3-5 个颜色SKU组套出图；可做「主推+搭售」组合</t>
        </is>
      </c>
    </row>
    <row r="29">
      <c r="A29" s="25" t="n">
        <v>27</v>
      </c>
      <c r="B29" s="25" t="inlineStr">
        <is>
          <t>夏新</t>
        </is>
      </c>
      <c r="C29" s="33" t="inlineStr">
        <is>
          <t>A</t>
        </is>
      </c>
      <c r="D29" s="26" t="inlineStr">
        <is>
          <t>真空封口机</t>
        </is>
      </c>
      <c r="E29" s="26" t="inlineStr">
        <is>
          <t>抽真空封口机</t>
        </is>
      </c>
      <c r="F29" s="26" t="inlineStr">
        <is>
          <t>夏新/封口机/绿色+袋子100</t>
        </is>
      </c>
      <c r="G29" s="26" t="inlineStr">
        <is>
          <t>XX-FKJ-L100</t>
        </is>
      </c>
      <c r="H29" s="29" t="n">
        <v>26</v>
      </c>
      <c r="I29" s="25" t="inlineStr">
        <is>
          <t>¥24–29</t>
        </is>
      </c>
      <c r="J29" s="29" t="n">
        <v>15</v>
      </c>
      <c r="K29" s="29" t="n">
        <v>29</v>
      </c>
      <c r="L29" s="37" t="n">
        <v>78</v>
      </c>
      <c r="M29" s="28" t="n">
        <v>7.11</v>
      </c>
      <c r="N29" s="32" t="inlineStr">
        <is>
          <t>重点铺货，建议配 3-5 个颜色SKU组套出图；可做「主推+搭售」组合</t>
        </is>
      </c>
    </row>
    <row r="30">
      <c r="A30" s="25" t="n">
        <v>28</v>
      </c>
      <c r="B30" s="25" t="inlineStr">
        <is>
          <t>夏新</t>
        </is>
      </c>
      <c r="C30" s="33" t="inlineStr">
        <is>
          <t>A</t>
        </is>
      </c>
      <c r="D30" s="26" t="inlineStr">
        <is>
          <t>真空封口机</t>
        </is>
      </c>
      <c r="E30" s="26" t="inlineStr">
        <is>
          <t>抽真空封口机</t>
        </is>
      </c>
      <c r="F30" s="26" t="inlineStr">
        <is>
          <t>夏新/封口机/紫色+袋子100</t>
        </is>
      </c>
      <c r="G30" s="26" t="inlineStr">
        <is>
          <t>XX-FKJ-Z100</t>
        </is>
      </c>
      <c r="H30" s="29" t="n">
        <v>26</v>
      </c>
      <c r="I30" s="25" t="inlineStr">
        <is>
          <t>¥24–29</t>
        </is>
      </c>
      <c r="J30" s="29" t="n">
        <v>15</v>
      </c>
      <c r="K30" s="29" t="n">
        <v>29</v>
      </c>
      <c r="L30" s="37" t="n">
        <v>78</v>
      </c>
      <c r="M30" s="28" t="n">
        <v>7.11</v>
      </c>
      <c r="N30" s="32" t="inlineStr">
        <is>
          <t>重点铺货，建议配 3-5 个颜色SKU组套出图；可做「主推+搭售」组合</t>
        </is>
      </c>
    </row>
    <row r="31">
      <c r="A31" s="25" t="n">
        <v>29</v>
      </c>
      <c r="B31" s="25" t="inlineStr">
        <is>
          <t>夏新</t>
        </is>
      </c>
      <c r="C31" s="33" t="inlineStr">
        <is>
          <t>A</t>
        </is>
      </c>
      <c r="D31" s="26" t="inlineStr">
        <is>
          <t>真空封口机</t>
        </is>
      </c>
      <c r="E31" s="26" t="inlineStr">
        <is>
          <t>抽真空封口机</t>
        </is>
      </c>
      <c r="F31" s="26" t="inlineStr">
        <is>
          <t>夏新/封口机/米黄色+袋子100</t>
        </is>
      </c>
      <c r="G31" s="26" t="inlineStr">
        <is>
          <t>XX-FKJ-H100</t>
        </is>
      </c>
      <c r="H31" s="29" t="n">
        <v>26</v>
      </c>
      <c r="I31" s="25" t="inlineStr">
        <is>
          <t>¥24–29</t>
        </is>
      </c>
      <c r="J31" s="29" t="n">
        <v>15</v>
      </c>
      <c r="K31" s="29" t="n">
        <v>29</v>
      </c>
      <c r="L31" s="37" t="n">
        <v>78</v>
      </c>
      <c r="M31" s="28" t="n">
        <v>7.11</v>
      </c>
      <c r="N31" s="32" t="inlineStr">
        <is>
          <t>重点铺货，建议配 3-5 个颜色SKU组套出图；可做「主推+搭售」组合</t>
        </is>
      </c>
    </row>
    <row r="32">
      <c r="A32" s="25" t="n">
        <v>30</v>
      </c>
      <c r="B32" s="25" t="inlineStr">
        <is>
          <t>夏新</t>
        </is>
      </c>
      <c r="C32" s="33" t="inlineStr">
        <is>
          <t>A</t>
        </is>
      </c>
      <c r="D32" s="26" t="inlineStr">
        <is>
          <t>真空封口机</t>
        </is>
      </c>
      <c r="E32" s="26" t="inlineStr">
        <is>
          <t>抽真空封口机袋子</t>
        </is>
      </c>
      <c r="F32" s="26" t="inlineStr">
        <is>
          <t>夏新/封口机/袋子50小+50大</t>
        </is>
      </c>
      <c r="G32" s="26" t="inlineStr">
        <is>
          <t>XX-FKJ-DZ100</t>
        </is>
      </c>
      <c r="H32" s="29" t="n">
        <v>26</v>
      </c>
      <c r="I32" s="25" t="inlineStr">
        <is>
          <t>¥24–29</t>
        </is>
      </c>
      <c r="J32" s="29" t="n">
        <v>15</v>
      </c>
      <c r="K32" s="29" t="n">
        <v>29</v>
      </c>
      <c r="L32" s="37" t="n">
        <v>78</v>
      </c>
      <c r="M32" s="28" t="n">
        <v>7.11</v>
      </c>
      <c r="N32" s="32" t="inlineStr">
        <is>
          <t>重点铺货，建议配 3-5 个颜色SKU组套出图；可做「主推+搭售」组合</t>
        </is>
      </c>
    </row>
    <row r="33">
      <c r="A33" s="25" t="n">
        <v>31</v>
      </c>
      <c r="B33" s="25" t="inlineStr">
        <is>
          <t>夏新</t>
        </is>
      </c>
      <c r="C33" s="33" t="inlineStr">
        <is>
          <t>A</t>
        </is>
      </c>
      <c r="D33" s="26" t="inlineStr">
        <is>
          <t>真空封口机</t>
        </is>
      </c>
      <c r="E33" s="26" t="inlineStr">
        <is>
          <t>真空包装机</t>
        </is>
      </c>
      <c r="F33" s="26" t="inlineStr">
        <is>
          <t>夏新/二代封口机/绿色+袋子100</t>
        </is>
      </c>
      <c r="G33" s="26" t="inlineStr">
        <is>
          <t>XX-FKJ-L100-01</t>
        </is>
      </c>
      <c r="H33" s="29" t="n">
        <v>26</v>
      </c>
      <c r="I33" s="25" t="inlineStr">
        <is>
          <t>¥24–29</t>
        </is>
      </c>
      <c r="J33" s="29" t="n">
        <v>15</v>
      </c>
      <c r="K33" s="29" t="n">
        <v>29</v>
      </c>
      <c r="L33" s="37" t="n">
        <v>78</v>
      </c>
      <c r="M33" s="28" t="n">
        <v>7.11</v>
      </c>
      <c r="N33" s="32" t="inlineStr">
        <is>
          <t>重点铺货，建议配 3-5 个颜色SKU组套出图；可做「主推+搭售」组合</t>
        </is>
      </c>
    </row>
    <row r="34">
      <c r="A34" s="25" t="n">
        <v>32</v>
      </c>
      <c r="B34" s="25" t="inlineStr">
        <is>
          <t>夏新</t>
        </is>
      </c>
      <c r="C34" s="33" t="inlineStr">
        <is>
          <t>A</t>
        </is>
      </c>
      <c r="D34" s="26" t="inlineStr">
        <is>
          <t>真空封口机</t>
        </is>
      </c>
      <c r="E34" s="26" t="inlineStr">
        <is>
          <t>真空包装机</t>
        </is>
      </c>
      <c r="F34" s="26" t="inlineStr">
        <is>
          <t>夏新/封口机/绿色/FK-7919 +袋子50</t>
        </is>
      </c>
      <c r="G34" s="26" t="inlineStr">
        <is>
          <t>XX-FKJ-L50</t>
        </is>
      </c>
      <c r="H34" s="29" t="n">
        <v>26</v>
      </c>
      <c r="I34" s="25" t="inlineStr">
        <is>
          <t>¥24–29</t>
        </is>
      </c>
      <c r="J34" s="29" t="n">
        <v>15</v>
      </c>
      <c r="K34" s="29" t="n">
        <v>29</v>
      </c>
      <c r="L34" s="37" t="n">
        <v>78</v>
      </c>
      <c r="M34" s="28" t="n">
        <v>7.11</v>
      </c>
      <c r="N34" s="32" t="inlineStr">
        <is>
          <t>重点铺货，建议配 3-5 个颜色SKU组套出图；可做「主推+搭售」组合</t>
        </is>
      </c>
    </row>
    <row r="35">
      <c r="A35" s="25" t="n">
        <v>33</v>
      </c>
      <c r="B35" s="25" t="inlineStr">
        <is>
          <t>康佳</t>
        </is>
      </c>
      <c r="C35" s="33" t="inlineStr">
        <is>
          <t>A</t>
        </is>
      </c>
      <c r="D35" s="26" t="inlineStr">
        <is>
          <t>高速吹风机</t>
        </is>
      </c>
      <c r="E35" s="26" t="inlineStr">
        <is>
          <t>离子高速吹风机</t>
        </is>
      </c>
      <c r="F35" s="26" t="inlineStr">
        <is>
          <t>康佳/离子高速吹风机/白色</t>
        </is>
      </c>
      <c r="G35" s="26" t="inlineStr">
        <is>
          <t>KJ-CFJ-B</t>
        </is>
      </c>
      <c r="H35" s="29" t="n">
        <v>55</v>
      </c>
      <c r="I35" s="25" t="inlineStr">
        <is>
          <t>¥42–68</t>
        </is>
      </c>
      <c r="J35" s="29" t="n">
        <v>36</v>
      </c>
      <c r="K35" s="29" t="n">
        <v>68</v>
      </c>
      <c r="L35" s="37" t="n">
        <v>41</v>
      </c>
      <c r="M35" s="28" t="n">
        <v>6.93</v>
      </c>
      <c r="N35" s="32" t="inlineStr">
        <is>
          <t>重点铺货，建议配 3-5 个颜色SKU组套出图；可做「主推+搭售」组合</t>
        </is>
      </c>
    </row>
    <row r="36">
      <c r="A36" s="25" t="n">
        <v>34</v>
      </c>
      <c r="B36" s="25" t="inlineStr">
        <is>
          <t>康佳</t>
        </is>
      </c>
      <c r="C36" s="33" t="inlineStr">
        <is>
          <t>A</t>
        </is>
      </c>
      <c r="D36" s="26" t="inlineStr">
        <is>
          <t>高速吹风机</t>
        </is>
      </c>
      <c r="E36" s="26" t="inlineStr">
        <is>
          <t>离子高速吹风机</t>
        </is>
      </c>
      <c r="F36" s="26" t="inlineStr">
        <is>
          <t>康佳/离子高速吹风机/黄色</t>
        </is>
      </c>
      <c r="G36" s="26" t="inlineStr">
        <is>
          <t>KJ-CFJ-H</t>
        </is>
      </c>
      <c r="H36" s="29" t="n">
        <v>55</v>
      </c>
      <c r="I36" s="25" t="inlineStr">
        <is>
          <t>¥42–68</t>
        </is>
      </c>
      <c r="J36" s="29" t="n">
        <v>36</v>
      </c>
      <c r="K36" s="29" t="n">
        <v>68</v>
      </c>
      <c r="L36" s="37" t="n">
        <v>41</v>
      </c>
      <c r="M36" s="28" t="n">
        <v>6.93</v>
      </c>
      <c r="N36" s="32" t="inlineStr">
        <is>
          <t>重点铺货，建议配 3-5 个颜色SKU组套出图；可做「主推+搭售」组合</t>
        </is>
      </c>
    </row>
    <row r="37">
      <c r="A37" s="25" t="n">
        <v>35</v>
      </c>
      <c r="B37" s="25" t="inlineStr">
        <is>
          <t>mericle</t>
        </is>
      </c>
      <c r="C37" s="33" t="inlineStr">
        <is>
          <t>A</t>
        </is>
      </c>
      <c r="D37" s="26" t="inlineStr">
        <is>
          <t>宠物修剪器</t>
        </is>
      </c>
      <c r="E37" s="26" t="inlineStr">
        <is>
          <t>宠物专用修剪器</t>
        </is>
      </c>
      <c r="F37" s="26" t="inlineStr">
        <is>
          <t>Mericle/宠物TMQ/银色/818</t>
        </is>
      </c>
      <c r="G37" s="26" t="inlineStr">
        <is>
          <t>TMQ-13</t>
        </is>
      </c>
      <c r="H37" s="29" t="n">
        <v>18</v>
      </c>
      <c r="I37" s="25" t="inlineStr">
        <is>
          <t>¥16–19</t>
        </is>
      </c>
      <c r="J37" s="29" t="n">
        <v>15</v>
      </c>
      <c r="K37" s="29" t="n">
        <v>19</v>
      </c>
      <c r="L37" s="37" t="n">
        <v>156</v>
      </c>
      <c r="M37" s="28" t="n">
        <v>6.92</v>
      </c>
      <c r="N37" s="32" t="inlineStr">
        <is>
          <t>重点铺货，建议配 3-5 个颜色SKU组套出图；可做「主推+搭售」组合</t>
        </is>
      </c>
    </row>
    <row r="38">
      <c r="A38" s="25" t="n">
        <v>36</v>
      </c>
      <c r="B38" s="25" t="inlineStr">
        <is>
          <t>美悟</t>
        </is>
      </c>
      <c r="C38" s="33" t="inlineStr">
        <is>
          <t>A</t>
        </is>
      </c>
      <c r="D38" s="26" t="inlineStr">
        <is>
          <t>保暖口罩</t>
        </is>
      </c>
      <c r="E38" s="26" t="inlineStr">
        <is>
          <t>保暖口罩</t>
        </is>
      </c>
      <c r="F38" s="26" t="inlineStr">
        <is>
          <t>美悟/保暖口罩/黑色</t>
        </is>
      </c>
      <c r="G38" s="26" t="inlineStr">
        <is>
          <t>MY-BNKZ-01</t>
        </is>
      </c>
      <c r="H38" s="29" t="n">
        <v>16</v>
      </c>
      <c r="I38" s="25" t="inlineStr">
        <is>
          <t>¥15–16</t>
        </is>
      </c>
      <c r="J38" s="29" t="n">
        <v>13</v>
      </c>
      <c r="K38" s="29" t="n">
        <v>16</v>
      </c>
      <c r="L38" s="37" t="n">
        <v>112.5</v>
      </c>
      <c r="M38" s="28" t="n">
        <v>6.87</v>
      </c>
      <c r="N38" s="32" t="inlineStr">
        <is>
          <t>重点铺货，建议配 3-5 个颜色SKU组套出图；可做「主推+搭售」组合</t>
        </is>
      </c>
    </row>
    <row r="39">
      <c r="A39" s="25" t="n">
        <v>37</v>
      </c>
      <c r="B39" s="25" t="inlineStr">
        <is>
          <t>美悟</t>
        </is>
      </c>
      <c r="C39" s="33" t="inlineStr">
        <is>
          <t>A</t>
        </is>
      </c>
      <c r="D39" s="26" t="inlineStr">
        <is>
          <t>保暖口罩</t>
        </is>
      </c>
      <c r="E39" s="26" t="inlineStr">
        <is>
          <t>保暖口罩</t>
        </is>
      </c>
      <c r="F39" s="26" t="inlineStr">
        <is>
          <t>美悟/保暖口罩/灰色</t>
        </is>
      </c>
      <c r="G39" s="26" t="inlineStr">
        <is>
          <t>MY-BNKZ-02</t>
        </is>
      </c>
      <c r="H39" s="29" t="n">
        <v>16</v>
      </c>
      <c r="I39" s="25" t="inlineStr">
        <is>
          <t>¥15–16</t>
        </is>
      </c>
      <c r="J39" s="29" t="n">
        <v>13</v>
      </c>
      <c r="K39" s="29" t="n">
        <v>16</v>
      </c>
      <c r="L39" s="37" t="n">
        <v>112.5</v>
      </c>
      <c r="M39" s="28" t="n">
        <v>6.87</v>
      </c>
      <c r="N39" s="32" t="inlineStr">
        <is>
          <t>重点铺货，建议配 3-5 个颜色SKU组套出图；可做「主推+搭售」组合</t>
        </is>
      </c>
    </row>
    <row r="40">
      <c r="A40" s="25" t="n">
        <v>38</v>
      </c>
      <c r="B40" s="25" t="inlineStr">
        <is>
          <t>美悟</t>
        </is>
      </c>
      <c r="C40" s="33" t="inlineStr">
        <is>
          <t>A</t>
        </is>
      </c>
      <c r="D40" s="26" t="inlineStr">
        <is>
          <t>保暖口罩</t>
        </is>
      </c>
      <c r="E40" s="26" t="inlineStr">
        <is>
          <t>保暖口罩</t>
        </is>
      </c>
      <c r="F40" s="26" t="inlineStr">
        <is>
          <t>美悟/保暖口罩/咖色</t>
        </is>
      </c>
      <c r="G40" s="26" t="inlineStr">
        <is>
          <t>MY-BNKZ-03</t>
        </is>
      </c>
      <c r="H40" s="29" t="n">
        <v>16</v>
      </c>
      <c r="I40" s="25" t="inlineStr">
        <is>
          <t>¥15–16</t>
        </is>
      </c>
      <c r="J40" s="29" t="n">
        <v>13</v>
      </c>
      <c r="K40" s="29" t="n">
        <v>16</v>
      </c>
      <c r="L40" s="37" t="n">
        <v>112.5</v>
      </c>
      <c r="M40" s="28" t="n">
        <v>6.87</v>
      </c>
      <c r="N40" s="32" t="inlineStr">
        <is>
          <t>重点铺货，建议配 3-5 个颜色SKU组套出图；可做「主推+搭售」组合</t>
        </is>
      </c>
    </row>
    <row r="41">
      <c r="A41" s="25" t="n">
        <v>39</v>
      </c>
      <c r="B41" s="25" t="inlineStr">
        <is>
          <t>mericle</t>
        </is>
      </c>
      <c r="C41" s="33" t="inlineStr">
        <is>
          <t>A</t>
        </is>
      </c>
      <c r="D41" s="26" t="inlineStr">
        <is>
          <t>手动刮胡刀</t>
        </is>
      </c>
      <c r="E41" s="26" t="inlineStr">
        <is>
          <t>手动刮胡刀</t>
        </is>
      </c>
      <c r="F41" s="26" t="inlineStr">
        <is>
          <t>Mericle/手动剃须刀/MSD-001</t>
        </is>
      </c>
      <c r="G41" s="26" t="inlineStr">
        <is>
          <t>TXD-122</t>
        </is>
      </c>
      <c r="H41" s="29" t="n">
        <v>24</v>
      </c>
      <c r="I41" s="25" t="inlineStr">
        <is>
          <t>¥20–29</t>
        </is>
      </c>
      <c r="J41" s="29" t="n">
        <v>9</v>
      </c>
      <c r="K41" s="29" t="n">
        <v>29</v>
      </c>
      <c r="L41" s="37" t="n">
        <v>8</v>
      </c>
      <c r="M41" s="28" t="n">
        <v>6.82</v>
      </c>
      <c r="N41" s="32" t="inlineStr">
        <is>
          <t>重点铺货，建议配 3-5 个颜色SKU组套出图；可做「主推+搭售」组合</t>
        </is>
      </c>
    </row>
    <row r="42">
      <c r="A42" s="25" t="n">
        <v>40</v>
      </c>
      <c r="B42" s="25" t="inlineStr">
        <is>
          <t>美悟</t>
        </is>
      </c>
      <c r="C42" s="33" t="inlineStr">
        <is>
          <t>A</t>
        </is>
      </c>
      <c r="D42" s="26" t="inlineStr">
        <is>
          <t>迷你清洗杯</t>
        </is>
      </c>
      <c r="E42" s="26" t="inlineStr">
        <is>
          <t>迷你清洗杯</t>
        </is>
      </c>
      <c r="F42" s="26" t="inlineStr">
        <is>
          <t>美悟/迷你双杯洗衣机/YQ-169</t>
        </is>
      </c>
      <c r="G42" s="26" t="inlineStr">
        <is>
          <t>XYJ-06</t>
        </is>
      </c>
      <c r="H42" s="29" t="n">
        <v>2</v>
      </c>
      <c r="I42" s="25" t="inlineStr">
        <is>
          <t>¥2–3</t>
        </is>
      </c>
      <c r="J42" s="29" t="n">
        <v>2</v>
      </c>
      <c r="K42" s="29" t="n">
        <v>3</v>
      </c>
      <c r="L42" s="37" t="n">
        <v>78</v>
      </c>
      <c r="M42" s="28" t="n">
        <v>6.8</v>
      </c>
      <c r="N42" s="32" t="inlineStr">
        <is>
          <t>重点铺货，建议配 3-5 个颜色SKU组套出图；可做「主推+搭售」组合</t>
        </is>
      </c>
    </row>
    <row r="43">
      <c r="A43" s="25" t="n">
        <v>41</v>
      </c>
      <c r="B43" s="25" t="inlineStr">
        <is>
          <t>mericle</t>
        </is>
      </c>
      <c r="C43" s="33" t="inlineStr">
        <is>
          <t>A</t>
        </is>
      </c>
      <c r="D43" s="26" t="inlineStr">
        <is>
          <t>小气泡美容仪</t>
        </is>
      </c>
      <c r="E43" s="26" t="inlineStr">
        <is>
          <t>mericle净颜嫩肤美容仪</t>
        </is>
      </c>
      <c r="F43" s="26" t="inlineStr">
        <is>
          <t>Mericle/净颜嫩肤美容仪</t>
        </is>
      </c>
      <c r="G43" s="26" t="inlineStr">
        <is>
          <t>Mericle/MRY</t>
        </is>
      </c>
      <c r="H43" s="29" t="n">
        <v>122</v>
      </c>
      <c r="I43" s="25" t="inlineStr">
        <is>
          <t>¥105–139</t>
        </is>
      </c>
      <c r="J43" s="29" t="n">
        <v>93</v>
      </c>
      <c r="K43" s="29" t="n">
        <v>139</v>
      </c>
      <c r="L43" s="37" t="n">
        <v>14</v>
      </c>
      <c r="M43" s="28" t="n">
        <v>6.79</v>
      </c>
      <c r="N43" s="32" t="inlineStr">
        <is>
          <t>重点铺货，建议配 3-5 个颜色SKU组套出图；可做「主推+搭售」组合</t>
        </is>
      </c>
    </row>
    <row r="44">
      <c r="A44" s="25" t="n">
        <v>42</v>
      </c>
      <c r="B44" s="25" t="inlineStr">
        <is>
          <t>mericle</t>
        </is>
      </c>
      <c r="C44" s="33" t="inlineStr">
        <is>
          <t>A</t>
        </is>
      </c>
      <c r="D44" s="26" t="inlineStr">
        <is>
          <t>小气泡美容仪</t>
        </is>
      </c>
      <c r="E44" s="26" t="inlineStr">
        <is>
          <t>胶原炮嫩肤美容仪</t>
        </is>
      </c>
      <c r="F44" s="26" t="inlineStr">
        <is>
          <t>Mericle/胶原炮嫩肤美容仪/金色</t>
        </is>
      </c>
      <c r="G44" s="26" t="inlineStr">
        <is>
          <t>M-JYP-01</t>
        </is>
      </c>
      <c r="H44" s="29" t="n">
        <v>122</v>
      </c>
      <c r="I44" s="25" t="inlineStr">
        <is>
          <t>¥105–139</t>
        </is>
      </c>
      <c r="J44" s="29" t="n">
        <v>93</v>
      </c>
      <c r="K44" s="29" t="n">
        <v>139</v>
      </c>
      <c r="L44" s="37" t="n">
        <v>14</v>
      </c>
      <c r="M44" s="28" t="n">
        <v>6.79</v>
      </c>
      <c r="N44" s="32" t="inlineStr">
        <is>
          <t>重点铺货，建议配 3-5 个颜色SKU组套出图；可做「主推+搭售」组合</t>
        </is>
      </c>
    </row>
    <row r="45">
      <c r="A45" s="25" t="n">
        <v>43</v>
      </c>
      <c r="B45" s="25" t="inlineStr">
        <is>
          <t>mericle</t>
        </is>
      </c>
      <c r="C45" s="33" t="inlineStr">
        <is>
          <t>A</t>
        </is>
      </c>
      <c r="D45" s="26" t="inlineStr">
        <is>
          <t>防晒口罩</t>
        </is>
      </c>
      <c r="E45" s="26" t="inlineStr">
        <is>
          <t>冰丝防晒口罩</t>
        </is>
      </c>
      <c r="F45" s="26" t="inlineStr">
        <is>
          <t>Mericle/二代冰丝口罩/黑色</t>
        </is>
      </c>
      <c r="G45" s="26" t="inlineStr">
        <is>
          <t>FSKZ-07</t>
        </is>
      </c>
      <c r="H45" s="29" t="n">
        <v>14</v>
      </c>
      <c r="I45" s="25" t="inlineStr">
        <is>
          <t>¥13–14</t>
        </is>
      </c>
      <c r="J45" s="29" t="n">
        <v>8</v>
      </c>
      <c r="K45" s="29" t="n">
        <v>16</v>
      </c>
      <c r="L45" s="37" t="n">
        <v>104.5</v>
      </c>
      <c r="M45" s="28" t="n">
        <v>6.77</v>
      </c>
      <c r="N45" s="32" t="inlineStr">
        <is>
          <t>重点铺货，建议配 3-5 个颜色SKU组套出图；可做「主推+搭售」组合</t>
        </is>
      </c>
    </row>
    <row r="46">
      <c r="A46" s="25" t="n">
        <v>44</v>
      </c>
      <c r="B46" s="25" t="inlineStr">
        <is>
          <t>mericle</t>
        </is>
      </c>
      <c r="C46" s="33" t="inlineStr">
        <is>
          <t>A</t>
        </is>
      </c>
      <c r="D46" s="26" t="inlineStr">
        <is>
          <t>防晒口罩</t>
        </is>
      </c>
      <c r="E46" s="26" t="inlineStr">
        <is>
          <t>冰丝防晒口罩</t>
        </is>
      </c>
      <c r="F46" s="26" t="inlineStr">
        <is>
          <t>Mericle/二代冰丝口罩/灰色</t>
        </is>
      </c>
      <c r="G46" s="26" t="inlineStr">
        <is>
          <t>FSKZ-08</t>
        </is>
      </c>
      <c r="H46" s="29" t="n">
        <v>14</v>
      </c>
      <c r="I46" s="25" t="inlineStr">
        <is>
          <t>¥13–14</t>
        </is>
      </c>
      <c r="J46" s="29" t="n">
        <v>8</v>
      </c>
      <c r="K46" s="29" t="n">
        <v>16</v>
      </c>
      <c r="L46" s="37" t="n">
        <v>104.5</v>
      </c>
      <c r="M46" s="28" t="n">
        <v>6.77</v>
      </c>
      <c r="N46" s="32" t="inlineStr">
        <is>
          <t>重点铺货，建议配 3-5 个颜色SKU组套出图；可做「主推+搭售」组合</t>
        </is>
      </c>
    </row>
    <row r="47">
      <c r="A47" s="25" t="n">
        <v>45</v>
      </c>
      <c r="B47" s="25" t="inlineStr">
        <is>
          <t>mericle</t>
        </is>
      </c>
      <c r="C47" s="33" t="inlineStr">
        <is>
          <t>A</t>
        </is>
      </c>
      <c r="D47" s="26" t="inlineStr">
        <is>
          <t>防晒口罩</t>
        </is>
      </c>
      <c r="E47" s="26" t="inlineStr">
        <is>
          <t>冰丝防晒口罩</t>
        </is>
      </c>
      <c r="F47" s="26" t="inlineStr">
        <is>
          <t>Mericle/二代冰丝口罩/粉色</t>
        </is>
      </c>
      <c r="G47" s="26" t="inlineStr">
        <is>
          <t>FSKZ-09</t>
        </is>
      </c>
      <c r="H47" s="29" t="n">
        <v>14</v>
      </c>
      <c r="I47" s="25" t="inlineStr">
        <is>
          <t>¥13–14</t>
        </is>
      </c>
      <c r="J47" s="29" t="n">
        <v>8</v>
      </c>
      <c r="K47" s="29" t="n">
        <v>16</v>
      </c>
      <c r="L47" s="37" t="n">
        <v>104.5</v>
      </c>
      <c r="M47" s="28" t="n">
        <v>6.77</v>
      </c>
      <c r="N47" s="32" t="inlineStr">
        <is>
          <t>重点铺货，建议配 3-5 个颜色SKU组套出图；可做「主推+搭售」组合</t>
        </is>
      </c>
    </row>
    <row r="48">
      <c r="A48" s="25" t="n">
        <v>46</v>
      </c>
      <c r="B48" s="25" t="inlineStr">
        <is>
          <t>美悟</t>
        </is>
      </c>
      <c r="C48" s="33" t="inlineStr">
        <is>
          <t>A</t>
        </is>
      </c>
      <c r="D48" s="26" t="inlineStr">
        <is>
          <t>防晒口罩</t>
        </is>
      </c>
      <c r="E48" s="26" t="inlineStr">
        <is>
          <t>冬季防晒口罩</t>
        </is>
      </c>
      <c r="F48" s="26" t="inlineStr">
        <is>
          <t>冬季防晒口罩/黑色</t>
        </is>
      </c>
      <c r="G48" s="26" t="inlineStr">
        <is>
          <t>DJKZ-01</t>
        </is>
      </c>
      <c r="H48" s="29" t="n">
        <v>14</v>
      </c>
      <c r="I48" s="25" t="inlineStr">
        <is>
          <t>¥13–14</t>
        </is>
      </c>
      <c r="J48" s="29" t="n">
        <v>8</v>
      </c>
      <c r="K48" s="29" t="n">
        <v>16</v>
      </c>
      <c r="L48" s="37" t="n">
        <v>104.5</v>
      </c>
      <c r="M48" s="28" t="n">
        <v>6.77</v>
      </c>
      <c r="N48" s="32" t="inlineStr">
        <is>
          <t>重点铺货，建议配 3-5 个颜色SKU组套出图；可做「主推+搭售」组合</t>
        </is>
      </c>
    </row>
    <row r="49">
      <c r="A49" s="25" t="n">
        <v>47</v>
      </c>
      <c r="B49" s="25" t="inlineStr">
        <is>
          <t>美悟</t>
        </is>
      </c>
      <c r="C49" s="33" t="inlineStr">
        <is>
          <t>A</t>
        </is>
      </c>
      <c r="D49" s="26" t="inlineStr">
        <is>
          <t>防晒口罩</t>
        </is>
      </c>
      <c r="E49" s="26" t="inlineStr">
        <is>
          <t>冬季防晒口罩</t>
        </is>
      </c>
      <c r="F49" s="26" t="inlineStr">
        <is>
          <t>冬季防晒口罩/咖色</t>
        </is>
      </c>
      <c r="G49" s="26" t="inlineStr">
        <is>
          <t>DJKZ-02</t>
        </is>
      </c>
      <c r="H49" s="29" t="n">
        <v>14</v>
      </c>
      <c r="I49" s="25" t="inlineStr">
        <is>
          <t>¥13–14</t>
        </is>
      </c>
      <c r="J49" s="29" t="n">
        <v>8</v>
      </c>
      <c r="K49" s="29" t="n">
        <v>16</v>
      </c>
      <c r="L49" s="37" t="n">
        <v>104.5</v>
      </c>
      <c r="M49" s="28" t="n">
        <v>6.77</v>
      </c>
      <c r="N49" s="32" t="inlineStr">
        <is>
          <t>重点铺货，建议配 3-5 个颜色SKU组套出图；可做「主推+搭售」组合</t>
        </is>
      </c>
    </row>
    <row r="50">
      <c r="A50" s="25" t="n">
        <v>48</v>
      </c>
      <c r="B50" s="25" t="inlineStr">
        <is>
          <t>美悟</t>
        </is>
      </c>
      <c r="C50" s="33" t="inlineStr">
        <is>
          <t>A</t>
        </is>
      </c>
      <c r="D50" s="26" t="inlineStr">
        <is>
          <t>防晒口罩</t>
        </is>
      </c>
      <c r="E50" s="26" t="inlineStr">
        <is>
          <t>冬季防晒口罩</t>
        </is>
      </c>
      <c r="F50" s="26" t="inlineStr">
        <is>
          <t>冬季防晒口罩/灰色</t>
        </is>
      </c>
      <c r="G50" s="26" t="inlineStr">
        <is>
          <t>DJKZ-03</t>
        </is>
      </c>
      <c r="H50" s="29" t="n">
        <v>14</v>
      </c>
      <c r="I50" s="25" t="inlineStr">
        <is>
          <t>¥13–14</t>
        </is>
      </c>
      <c r="J50" s="29" t="n">
        <v>8</v>
      </c>
      <c r="K50" s="29" t="n">
        <v>16</v>
      </c>
      <c r="L50" s="37" t="n">
        <v>104.5</v>
      </c>
      <c r="M50" s="28" t="n">
        <v>6.77</v>
      </c>
      <c r="N50" s="32" t="inlineStr">
        <is>
          <t>重点铺货，建议配 3-5 个颜色SKU组套出图；可做「主推+搭售」组合</t>
        </is>
      </c>
    </row>
    <row r="51">
      <c r="A51" s="25" t="n">
        <v>49</v>
      </c>
      <c r="B51" s="25" t="inlineStr">
        <is>
          <t>美悟</t>
        </is>
      </c>
      <c r="C51" s="33" t="inlineStr">
        <is>
          <t>A</t>
        </is>
      </c>
      <c r="D51" s="26" t="inlineStr">
        <is>
          <t>防晒口罩</t>
        </is>
      </c>
      <c r="E51" s="26" t="inlineStr">
        <is>
          <t>防晒口罩</t>
        </is>
      </c>
      <c r="F51" s="26" t="inlineStr">
        <is>
          <t>美悟/烟酰胺防晒口罩/粉色</t>
        </is>
      </c>
      <c r="G51" s="26" t="inlineStr">
        <is>
          <t>MY-FSKZ-01</t>
        </is>
      </c>
      <c r="H51" s="29" t="n">
        <v>14</v>
      </c>
      <c r="I51" s="25" t="inlineStr">
        <is>
          <t>¥13–14</t>
        </is>
      </c>
      <c r="J51" s="29" t="n">
        <v>8</v>
      </c>
      <c r="K51" s="29" t="n">
        <v>16</v>
      </c>
      <c r="L51" s="37" t="n">
        <v>104.5</v>
      </c>
      <c r="M51" s="28" t="n">
        <v>6.77</v>
      </c>
      <c r="N51" s="32" t="inlineStr">
        <is>
          <t>重点铺货，建议配 3-5 个颜色SKU组套出图；可做「主推+搭售」组合</t>
        </is>
      </c>
    </row>
    <row r="52">
      <c r="A52" s="25" t="n">
        <v>50</v>
      </c>
      <c r="B52" s="25" t="inlineStr">
        <is>
          <t>美悟</t>
        </is>
      </c>
      <c r="C52" s="33" t="inlineStr">
        <is>
          <t>A</t>
        </is>
      </c>
      <c r="D52" s="26" t="inlineStr">
        <is>
          <t>防晒口罩</t>
        </is>
      </c>
      <c r="E52" s="26" t="inlineStr">
        <is>
          <t>防晒口罩</t>
        </is>
      </c>
      <c r="F52" s="26" t="inlineStr">
        <is>
          <t>美悟/烟酰胺防晒口罩/黑色</t>
        </is>
      </c>
      <c r="G52" s="26" t="inlineStr">
        <is>
          <t>MY-FSKZ-02</t>
        </is>
      </c>
      <c r="H52" s="29" t="n">
        <v>14</v>
      </c>
      <c r="I52" s="25" t="inlineStr">
        <is>
          <t>¥13–14</t>
        </is>
      </c>
      <c r="J52" s="29" t="n">
        <v>8</v>
      </c>
      <c r="K52" s="29" t="n">
        <v>16</v>
      </c>
      <c r="L52" s="37" t="n">
        <v>104.5</v>
      </c>
      <c r="M52" s="28" t="n">
        <v>6.77</v>
      </c>
      <c r="N52" s="32" t="inlineStr">
        <is>
          <t>重点铺货，建议配 3-5 个颜色SKU组套出图；可做「主推+搭售」组合</t>
        </is>
      </c>
    </row>
    <row r="53">
      <c r="A53" s="25" t="n">
        <v>51</v>
      </c>
      <c r="B53" s="25" t="inlineStr">
        <is>
          <t>美悟</t>
        </is>
      </c>
      <c r="C53" s="33" t="inlineStr">
        <is>
          <t>A</t>
        </is>
      </c>
      <c r="D53" s="26" t="inlineStr">
        <is>
          <t>防晒口罩</t>
        </is>
      </c>
      <c r="E53" s="26" t="inlineStr">
        <is>
          <t>防晒口罩</t>
        </is>
      </c>
      <c r="F53" s="26" t="inlineStr">
        <is>
          <t>美悟/烟酰胺防晒口罩/灰色</t>
        </is>
      </c>
      <c r="G53" s="26" t="inlineStr">
        <is>
          <t>MY-FSKZ-03</t>
        </is>
      </c>
      <c r="H53" s="29" t="n">
        <v>14</v>
      </c>
      <c r="I53" s="25" t="inlineStr">
        <is>
          <t>¥13–14</t>
        </is>
      </c>
      <c r="J53" s="29" t="n">
        <v>8</v>
      </c>
      <c r="K53" s="29" t="n">
        <v>16</v>
      </c>
      <c r="L53" s="37" t="n">
        <v>104.5</v>
      </c>
      <c r="M53" s="28" t="n">
        <v>6.77</v>
      </c>
      <c r="N53" s="32" t="inlineStr">
        <is>
          <t>重点铺货，建议配 3-5 个颜色SKU组套出图；可做「主推+搭售」组合</t>
        </is>
      </c>
    </row>
    <row r="54">
      <c r="A54" s="25" t="n">
        <v>52</v>
      </c>
      <c r="B54" s="25" t="inlineStr">
        <is>
          <t>mericle</t>
        </is>
      </c>
      <c r="C54" s="33" t="inlineStr">
        <is>
          <t>A</t>
        </is>
      </c>
      <c r="D54" s="26" t="inlineStr">
        <is>
          <t>超声波清洗机</t>
        </is>
      </c>
      <c r="E54" s="26" t="inlineStr">
        <is>
          <t>超声波清洗机</t>
        </is>
      </c>
      <c r="F54" s="26" t="inlineStr">
        <is>
          <t>Mericle/超声波清洗机/白色</t>
        </is>
      </c>
      <c r="G54" s="26" t="inlineStr">
        <is>
          <t>Mericle-QXJ-B</t>
        </is>
      </c>
      <c r="H54" s="29" t="n">
        <v>50</v>
      </c>
      <c r="I54" s="25" t="inlineStr">
        <is>
          <t>¥40–59</t>
        </is>
      </c>
      <c r="J54" s="29" t="n">
        <v>18</v>
      </c>
      <c r="K54" s="29" t="n">
        <v>59</v>
      </c>
      <c r="L54" s="37" t="n">
        <v>12</v>
      </c>
      <c r="M54" s="28" t="n">
        <v>6.69</v>
      </c>
      <c r="N54" s="32" t="inlineStr">
        <is>
          <t>重点铺货，建议配 3-5 个颜色SKU组套出图；可做「主推+搭售」组合</t>
        </is>
      </c>
    </row>
    <row r="55">
      <c r="A55" s="25" t="n">
        <v>53</v>
      </c>
      <c r="B55" s="25" t="inlineStr">
        <is>
          <t>mericle</t>
        </is>
      </c>
      <c r="C55" s="33" t="inlineStr">
        <is>
          <t>A</t>
        </is>
      </c>
      <c r="D55" s="26" t="inlineStr">
        <is>
          <t>电动修眉刀</t>
        </is>
      </c>
      <c r="E55" s="26" t="inlineStr">
        <is>
          <t>电动修眉刀</t>
        </is>
      </c>
      <c r="F55" s="26" t="inlineStr">
        <is>
          <t>Mericle/修眉刀/粉色</t>
        </is>
      </c>
      <c r="G55" s="26" t="inlineStr">
        <is>
          <t>Mericle-XMD-FS</t>
        </is>
      </c>
      <c r="H55" s="29" t="n">
        <v>12</v>
      </c>
      <c r="I55" s="25" t="inlineStr">
        <is>
          <t>¥12–13</t>
        </is>
      </c>
      <c r="J55" s="29" t="n">
        <v>10</v>
      </c>
      <c r="K55" s="29" t="n">
        <v>19</v>
      </c>
      <c r="L55" s="37" t="n">
        <v>31</v>
      </c>
      <c r="M55" s="28" t="n">
        <v>6.69</v>
      </c>
      <c r="N55" s="32" t="inlineStr">
        <is>
          <t>重点铺货，建议配 3-5 个颜色SKU组套出图；可做「主推+搭售」组合</t>
        </is>
      </c>
    </row>
    <row r="56">
      <c r="A56" s="25" t="n">
        <v>54</v>
      </c>
      <c r="B56" s="25" t="inlineStr">
        <is>
          <t>mericle</t>
        </is>
      </c>
      <c r="C56" s="33" t="inlineStr">
        <is>
          <t>A</t>
        </is>
      </c>
      <c r="D56" s="26" t="inlineStr">
        <is>
          <t>电动修眉刀</t>
        </is>
      </c>
      <c r="E56" s="26" t="inlineStr">
        <is>
          <t>修眉刀</t>
        </is>
      </c>
      <c r="F56" s="26" t="inlineStr">
        <is>
          <t>Mericle/修眉刀/TMQ-1333/钻石款</t>
        </is>
      </c>
      <c r="G56" s="26" t="inlineStr">
        <is>
          <t>Mericle-XMD-03</t>
        </is>
      </c>
      <c r="H56" s="29" t="n">
        <v>12</v>
      </c>
      <c r="I56" s="25" t="inlineStr">
        <is>
          <t>¥12–13</t>
        </is>
      </c>
      <c r="J56" s="29" t="n">
        <v>10</v>
      </c>
      <c r="K56" s="29" t="n">
        <v>19</v>
      </c>
      <c r="L56" s="37" t="n">
        <v>31</v>
      </c>
      <c r="M56" s="28" t="n">
        <v>6.69</v>
      </c>
      <c r="N56" s="32" t="inlineStr">
        <is>
          <t>重点铺货，建议配 3-5 个颜色SKU组套出图；可做「主推+搭售」组合</t>
        </is>
      </c>
    </row>
    <row r="57">
      <c r="A57" s="25" t="n">
        <v>55</v>
      </c>
      <c r="B57" s="25" t="inlineStr">
        <is>
          <t>mericle</t>
        </is>
      </c>
      <c r="C57" s="33" t="inlineStr">
        <is>
          <t>A</t>
        </is>
      </c>
      <c r="D57" s="26" t="inlineStr">
        <is>
          <t>马桶卫士</t>
        </is>
      </c>
      <c r="E57" s="26" t="inlineStr">
        <is>
          <t>马桶卫士</t>
        </is>
      </c>
      <c r="F57" s="26" t="inlineStr">
        <is>
          <t>Mericle/马桶卫士/白色/YM-T5900</t>
        </is>
      </c>
      <c r="G57" s="26" t="inlineStr">
        <is>
          <t>Mericle-MTWS-01</t>
        </is>
      </c>
      <c r="H57" s="29" t="n">
        <v>12</v>
      </c>
      <c r="I57" s="25" t="inlineStr">
        <is>
          <t>¥12–13</t>
        </is>
      </c>
      <c r="J57" s="29" t="n">
        <v>7</v>
      </c>
      <c r="K57" s="29" t="n">
        <v>13</v>
      </c>
      <c r="L57" s="37" t="n">
        <v>50</v>
      </c>
      <c r="M57" s="28" t="n">
        <v>6.68</v>
      </c>
      <c r="N57" s="32" t="inlineStr">
        <is>
          <t>重点铺货，建议配 3-5 个颜色SKU组套出图；可做「主推+搭售」组合</t>
        </is>
      </c>
    </row>
    <row r="58">
      <c r="A58" s="25" t="n">
        <v>56</v>
      </c>
      <c r="B58" s="25" t="inlineStr">
        <is>
          <t>mericle</t>
        </is>
      </c>
      <c r="C58" s="33" t="inlineStr">
        <is>
          <t>A</t>
        </is>
      </c>
      <c r="D58" s="26" t="inlineStr">
        <is>
          <t>马桶卫士</t>
        </is>
      </c>
      <c r="E58" s="26" t="inlineStr">
        <is>
          <t>马桶卫士</t>
        </is>
      </c>
      <c r="F58" s="26" t="inlineStr">
        <is>
          <t>Mericle/马桶卫士/蓝色/YM-T5900</t>
        </is>
      </c>
      <c r="G58" s="26" t="inlineStr">
        <is>
          <t>Mericle-MTWS-02</t>
        </is>
      </c>
      <c r="H58" s="29" t="n">
        <v>12</v>
      </c>
      <c r="I58" s="25" t="inlineStr">
        <is>
          <t>¥12–13</t>
        </is>
      </c>
      <c r="J58" s="29" t="n">
        <v>7</v>
      </c>
      <c r="K58" s="29" t="n">
        <v>13</v>
      </c>
      <c r="L58" s="37" t="n">
        <v>50</v>
      </c>
      <c r="M58" s="28" t="n">
        <v>6.68</v>
      </c>
      <c r="N58" s="32" t="inlineStr">
        <is>
          <t>重点铺货，建议配 3-5 个颜色SKU组套出图；可做「主推+搭售」组合</t>
        </is>
      </c>
    </row>
    <row r="59">
      <c r="A59" s="25" t="n">
        <v>57</v>
      </c>
      <c r="B59" s="25" t="inlineStr">
        <is>
          <t>mericle</t>
        </is>
      </c>
      <c r="C59" s="33" t="inlineStr">
        <is>
          <t>A</t>
        </is>
      </c>
      <c r="D59" s="26" t="inlineStr">
        <is>
          <t>马桶卫士</t>
        </is>
      </c>
      <c r="E59" s="26" t="inlineStr">
        <is>
          <t>马桶卫士</t>
        </is>
      </c>
      <c r="F59" s="26" t="inlineStr">
        <is>
          <t>Mericle/马桶卫士/白色/YQ-255</t>
        </is>
      </c>
      <c r="G59" s="26" t="inlineStr">
        <is>
          <t>Mericle-MTWS-03</t>
        </is>
      </c>
      <c r="H59" s="29" t="n">
        <v>12</v>
      </c>
      <c r="I59" s="25" t="inlineStr">
        <is>
          <t>¥12–13</t>
        </is>
      </c>
      <c r="J59" s="29" t="n">
        <v>7</v>
      </c>
      <c r="K59" s="29" t="n">
        <v>13</v>
      </c>
      <c r="L59" s="37" t="n">
        <v>50</v>
      </c>
      <c r="M59" s="28" t="n">
        <v>6.68</v>
      </c>
      <c r="N59" s="32" t="inlineStr">
        <is>
          <t>重点铺货，建议配 3-5 个颜色SKU组套出图；可做「主推+搭售」组合</t>
        </is>
      </c>
    </row>
    <row r="60">
      <c r="A60" s="25" t="n">
        <v>58</v>
      </c>
      <c r="B60" s="25" t="inlineStr">
        <is>
          <t>通货</t>
        </is>
      </c>
      <c r="C60" s="33" t="inlineStr">
        <is>
          <t>A</t>
        </is>
      </c>
      <c r="D60" s="26" t="inlineStr">
        <is>
          <t>起泡网</t>
        </is>
      </c>
      <c r="E60" s="26" t="inlineStr">
        <is>
          <t>起泡网</t>
        </is>
      </c>
      <c r="F60" s="26" t="inlineStr">
        <is>
          <t>起泡网</t>
        </is>
      </c>
      <c r="G60" s="26" t="inlineStr">
        <is>
          <t>QPW</t>
        </is>
      </c>
      <c r="H60" s="29" t="n">
        <v>8</v>
      </c>
      <c r="I60" s="25" t="inlineStr">
        <is>
          <t>¥7–9</t>
        </is>
      </c>
      <c r="J60" s="29" t="n">
        <v>6</v>
      </c>
      <c r="K60" s="29" t="n">
        <v>9</v>
      </c>
      <c r="L60" s="37" t="n">
        <v>20</v>
      </c>
      <c r="M60" s="28" t="n">
        <v>6.66</v>
      </c>
      <c r="N60" s="32" t="inlineStr">
        <is>
          <t>重点铺货，建议配 3-5 个颜色SKU组套出图；可做「主推+搭售」组合</t>
        </is>
      </c>
    </row>
    <row r="61">
      <c r="A61" s="25" t="n">
        <v>59</v>
      </c>
      <c r="B61" s="25" t="inlineStr">
        <is>
          <t>夏新</t>
        </is>
      </c>
      <c r="C61" s="33" t="inlineStr">
        <is>
          <t>A</t>
        </is>
      </c>
      <c r="D61" s="26" t="inlineStr">
        <is>
          <t>挂腰风扇</t>
        </is>
      </c>
      <c r="E61" s="26" t="inlineStr">
        <is>
          <t>机甲挂腰风扇</t>
        </is>
      </c>
      <c r="F61" s="26" t="inlineStr">
        <is>
          <t>夏新/挂腰风扇/灰色/KM001</t>
        </is>
      </c>
      <c r="G61" s="26" t="inlineStr">
        <is>
          <t>GYFS-01</t>
        </is>
      </c>
      <c r="H61" s="29" t="n">
        <v>44</v>
      </c>
      <c r="I61" s="25" t="inlineStr">
        <is>
          <t>¥38–49</t>
        </is>
      </c>
      <c r="J61" s="29" t="n">
        <v>36</v>
      </c>
      <c r="K61" s="29" t="n">
        <v>49</v>
      </c>
      <c r="L61" s="37" t="n">
        <v>16</v>
      </c>
      <c r="M61" s="28" t="n">
        <v>6.65</v>
      </c>
      <c r="N61" s="32" t="inlineStr">
        <is>
          <t>重点铺货，建议配 3-5 个颜色SKU组套出图；可做「主推+搭售」组合</t>
        </is>
      </c>
    </row>
    <row r="62">
      <c r="A62" s="25" t="n">
        <v>60</v>
      </c>
      <c r="B62" s="25" t="inlineStr">
        <is>
          <t>夏新</t>
        </is>
      </c>
      <c r="C62" s="33" t="inlineStr">
        <is>
          <t>A</t>
        </is>
      </c>
      <c r="D62" s="26" t="inlineStr">
        <is>
          <t>挂腰风扇</t>
        </is>
      </c>
      <c r="E62" s="26" t="inlineStr">
        <is>
          <t>机甲挂腰风扇</t>
        </is>
      </c>
      <c r="F62" s="26" t="inlineStr">
        <is>
          <t>夏新/挂腰风扇/绿色/KM001</t>
        </is>
      </c>
      <c r="G62" s="26" t="inlineStr">
        <is>
          <t>GYFS-02</t>
        </is>
      </c>
      <c r="H62" s="29" t="n">
        <v>44</v>
      </c>
      <c r="I62" s="25" t="inlineStr">
        <is>
          <t>¥38–49</t>
        </is>
      </c>
      <c r="J62" s="29" t="n">
        <v>36</v>
      </c>
      <c r="K62" s="29" t="n">
        <v>49</v>
      </c>
      <c r="L62" s="37" t="n">
        <v>16</v>
      </c>
      <c r="M62" s="28" t="n">
        <v>6.65</v>
      </c>
      <c r="N62" s="32" t="inlineStr">
        <is>
          <t>重点铺货，建议配 3-5 个颜色SKU组套出图；可做「主推+搭售」组合</t>
        </is>
      </c>
    </row>
    <row r="63">
      <c r="A63" s="25" t="n">
        <v>61</v>
      </c>
      <c r="B63" s="25" t="inlineStr">
        <is>
          <t>夏新</t>
        </is>
      </c>
      <c r="C63" s="33" t="inlineStr">
        <is>
          <t>A</t>
        </is>
      </c>
      <c r="D63" s="26" t="inlineStr">
        <is>
          <t>挂腰风扇</t>
        </is>
      </c>
      <c r="E63" s="26" t="inlineStr">
        <is>
          <t>机甲挂腰风扇</t>
        </is>
      </c>
      <c r="F63" s="26" t="inlineStr">
        <is>
          <t>夏新/挂腰风扇/橙色/KM001</t>
        </is>
      </c>
      <c r="G63" s="26" t="inlineStr">
        <is>
          <t>GYFS-03</t>
        </is>
      </c>
      <c r="H63" s="29" t="n">
        <v>44</v>
      </c>
      <c r="I63" s="25" t="inlineStr">
        <is>
          <t>¥38–49</t>
        </is>
      </c>
      <c r="J63" s="29" t="n">
        <v>36</v>
      </c>
      <c r="K63" s="29" t="n">
        <v>49</v>
      </c>
      <c r="L63" s="37" t="n">
        <v>16</v>
      </c>
      <c r="M63" s="28" t="n">
        <v>6.65</v>
      </c>
      <c r="N63" s="32" t="inlineStr">
        <is>
          <t>重点铺货，建议配 3-5 个颜色SKU组套出图；可做「主推+搭售」组合</t>
        </is>
      </c>
    </row>
    <row r="64">
      <c r="A64" s="25" t="n">
        <v>62</v>
      </c>
      <c r="B64" s="25" t="inlineStr">
        <is>
          <t>mericle</t>
        </is>
      </c>
      <c r="C64" s="33" t="inlineStr">
        <is>
          <t>A</t>
        </is>
      </c>
      <c r="D64" s="26" t="inlineStr">
        <is>
          <t>自动卷发器</t>
        </is>
      </c>
      <c r="E64" s="26" t="inlineStr">
        <is>
          <t>自动卷发器</t>
        </is>
      </c>
      <c r="F64" s="26" t="inlineStr">
        <is>
          <t>Mericle/自动卷发器/紫色</t>
        </is>
      </c>
      <c r="G64" s="26" t="inlineStr">
        <is>
          <t>JFQ-03</t>
        </is>
      </c>
      <c r="H64" s="29" t="n">
        <v>25</v>
      </c>
      <c r="I64" s="25" t="inlineStr">
        <is>
          <t>¥20–30</t>
        </is>
      </c>
      <c r="J64" s="29" t="n">
        <v>18</v>
      </c>
      <c r="K64" s="29" t="n">
        <v>30</v>
      </c>
      <c r="L64" s="37" t="n">
        <v>59</v>
      </c>
      <c r="M64" s="28" t="n">
        <v>6.63</v>
      </c>
      <c r="N64" s="32" t="inlineStr">
        <is>
          <t>重点铺货，建议配 3-5 个颜色SKU组套出图；可做「主推+搭售」组合</t>
        </is>
      </c>
    </row>
    <row r="65">
      <c r="A65" s="25" t="n">
        <v>63</v>
      </c>
      <c r="B65" s="25" t="inlineStr">
        <is>
          <t>mericle</t>
        </is>
      </c>
      <c r="C65" s="33" t="inlineStr">
        <is>
          <t>A</t>
        </is>
      </c>
      <c r="D65" s="26" t="inlineStr">
        <is>
          <t>自动卷发器</t>
        </is>
      </c>
      <c r="E65" s="26" t="inlineStr">
        <is>
          <t>多功能自动卷发器</t>
        </is>
      </c>
      <c r="F65" s="26" t="inlineStr">
        <is>
          <t>Mericle/多功能卷发器/粉色</t>
        </is>
      </c>
      <c r="G65" s="26" t="inlineStr">
        <is>
          <t>JFQ-04</t>
        </is>
      </c>
      <c r="H65" s="29" t="n">
        <v>25</v>
      </c>
      <c r="I65" s="25" t="inlineStr">
        <is>
          <t>¥20–30</t>
        </is>
      </c>
      <c r="J65" s="29" t="n">
        <v>18</v>
      </c>
      <c r="K65" s="29" t="n">
        <v>30</v>
      </c>
      <c r="L65" s="37" t="n">
        <v>59</v>
      </c>
      <c r="M65" s="28" t="n">
        <v>6.63</v>
      </c>
      <c r="N65" s="32" t="inlineStr">
        <is>
          <t>重点铺货，建议配 3-5 个颜色SKU组套出图；可做「主推+搭售」组合</t>
        </is>
      </c>
    </row>
    <row r="66">
      <c r="A66" s="25" t="n">
        <v>64</v>
      </c>
      <c r="B66" s="25" t="inlineStr">
        <is>
          <t>mericle</t>
        </is>
      </c>
      <c r="C66" s="33" t="inlineStr">
        <is>
          <t>A</t>
        </is>
      </c>
      <c r="D66" s="26" t="inlineStr">
        <is>
          <t>自动卷发器</t>
        </is>
      </c>
      <c r="E66" s="26" t="inlineStr">
        <is>
          <t>多功能自动卷发器</t>
        </is>
      </c>
      <c r="F66" s="26" t="inlineStr">
        <is>
          <t>Mericle/多功能卷发器/蓝色</t>
        </is>
      </c>
      <c r="G66" s="26" t="inlineStr">
        <is>
          <t>JFQ-05</t>
        </is>
      </c>
      <c r="H66" s="29" t="n">
        <v>25</v>
      </c>
      <c r="I66" s="25" t="inlineStr">
        <is>
          <t>¥20–30</t>
        </is>
      </c>
      <c r="J66" s="29" t="n">
        <v>18</v>
      </c>
      <c r="K66" s="29" t="n">
        <v>30</v>
      </c>
      <c r="L66" s="37" t="n">
        <v>59</v>
      </c>
      <c r="M66" s="28" t="n">
        <v>6.63</v>
      </c>
      <c r="N66" s="32" t="inlineStr">
        <is>
          <t>重点铺货，建议配 3-5 个颜色SKU组套出图；可做「主推+搭售」组合</t>
        </is>
      </c>
    </row>
    <row r="67">
      <c r="A67" s="25" t="n">
        <v>65</v>
      </c>
      <c r="B67" s="25" t="inlineStr">
        <is>
          <t>康佳</t>
        </is>
      </c>
      <c r="C67" s="33" t="inlineStr">
        <is>
          <t>A</t>
        </is>
      </c>
      <c r="D67" s="26" t="inlineStr">
        <is>
          <t>自动卷发器</t>
        </is>
      </c>
      <c r="E67" s="26" t="inlineStr">
        <is>
          <t>康佳卷发器</t>
        </is>
      </c>
      <c r="F67" s="26" t="inlineStr">
        <is>
          <t>康佳 卷发器/粉色</t>
        </is>
      </c>
      <c r="G67" s="26" t="inlineStr">
        <is>
          <t>JFQ-02</t>
        </is>
      </c>
      <c r="H67" s="29" t="n">
        <v>25</v>
      </c>
      <c r="I67" s="25" t="inlineStr">
        <is>
          <t>¥20–30</t>
        </is>
      </c>
      <c r="J67" s="29" t="n">
        <v>18</v>
      </c>
      <c r="K67" s="29" t="n">
        <v>30</v>
      </c>
      <c r="L67" s="37" t="n">
        <v>59</v>
      </c>
      <c r="M67" s="28" t="n">
        <v>6.63</v>
      </c>
      <c r="N67" s="32" t="inlineStr">
        <is>
          <t>重点铺货，建议配 3-5 个颜色SKU组套出图；可做「主推+搭售」组合</t>
        </is>
      </c>
    </row>
    <row r="68">
      <c r="A68" s="25" t="n">
        <v>66</v>
      </c>
      <c r="B68" s="25" t="inlineStr">
        <is>
          <t>康佳</t>
        </is>
      </c>
      <c r="C68" s="33" t="inlineStr">
        <is>
          <t>A</t>
        </is>
      </c>
      <c r="D68" s="26" t="inlineStr">
        <is>
          <t>自动卷发器</t>
        </is>
      </c>
      <c r="E68" s="26" t="inlineStr">
        <is>
          <t>康佳卷发器</t>
        </is>
      </c>
      <c r="F68" s="26" t="inlineStr">
        <is>
          <t>康佳 卷发器/蓝色</t>
        </is>
      </c>
      <c r="G68" s="26" t="inlineStr">
        <is>
          <t>JFQ-01</t>
        </is>
      </c>
      <c r="H68" s="29" t="n">
        <v>25</v>
      </c>
      <c r="I68" s="25" t="inlineStr">
        <is>
          <t>¥20–30</t>
        </is>
      </c>
      <c r="J68" s="29" t="n">
        <v>18</v>
      </c>
      <c r="K68" s="29" t="n">
        <v>30</v>
      </c>
      <c r="L68" s="37" t="n">
        <v>59</v>
      </c>
      <c r="M68" s="28" t="n">
        <v>6.63</v>
      </c>
      <c r="N68" s="32" t="inlineStr">
        <is>
          <t>重点铺货，建议配 3-5 个颜色SKU组套出图；可做「主推+搭售」组合</t>
        </is>
      </c>
    </row>
    <row r="69">
      <c r="A69" s="25" t="n">
        <v>67</v>
      </c>
      <c r="B69" s="25" t="inlineStr">
        <is>
          <t>现代</t>
        </is>
      </c>
      <c r="C69" s="33" t="inlineStr">
        <is>
          <t>A</t>
        </is>
      </c>
      <c r="D69" s="26" t="inlineStr">
        <is>
          <t>自动卷发器</t>
        </is>
      </c>
      <c r="E69" s="26" t="inlineStr">
        <is>
          <t>现代自动卷发器</t>
        </is>
      </c>
      <c r="F69" s="26" t="inlineStr">
        <is>
          <t>现代/自动卷发器/负离子款/紫色</t>
        </is>
      </c>
      <c r="G69" s="26" t="inlineStr">
        <is>
          <t>XD/JFQ-01</t>
        </is>
      </c>
      <c r="H69" s="29" t="n">
        <v>25</v>
      </c>
      <c r="I69" s="25" t="inlineStr">
        <is>
          <t>¥20–30</t>
        </is>
      </c>
      <c r="J69" s="29" t="n">
        <v>18</v>
      </c>
      <c r="K69" s="29" t="n">
        <v>30</v>
      </c>
      <c r="L69" s="37" t="n">
        <v>59</v>
      </c>
      <c r="M69" s="28" t="n">
        <v>6.63</v>
      </c>
      <c r="N69" s="32" t="inlineStr">
        <is>
          <t>重点铺货，建议配 3-5 个颜色SKU组套出图；可做「主推+搭售」组合</t>
        </is>
      </c>
    </row>
    <row r="70">
      <c r="A70" s="25" t="n">
        <v>68</v>
      </c>
      <c r="B70" s="25" t="inlineStr">
        <is>
          <t>现代</t>
        </is>
      </c>
      <c r="C70" s="33" t="inlineStr">
        <is>
          <t>A</t>
        </is>
      </c>
      <c r="D70" s="26" t="inlineStr">
        <is>
          <t>自动卷发器</t>
        </is>
      </c>
      <c r="E70" s="26" t="inlineStr">
        <is>
          <t>现代自动卷发器</t>
        </is>
      </c>
      <c r="F70" s="26" t="inlineStr">
        <is>
          <t>现代/自动卷发器/紫色</t>
        </is>
      </c>
      <c r="G70" s="26" t="inlineStr">
        <is>
          <t>XD/JFQ-02</t>
        </is>
      </c>
      <c r="H70" s="29" t="n">
        <v>25</v>
      </c>
      <c r="I70" s="25" t="inlineStr">
        <is>
          <t>¥20–30</t>
        </is>
      </c>
      <c r="J70" s="29" t="n">
        <v>18</v>
      </c>
      <c r="K70" s="29" t="n">
        <v>30</v>
      </c>
      <c r="L70" s="37" t="n">
        <v>59</v>
      </c>
      <c r="M70" s="28" t="n">
        <v>6.63</v>
      </c>
      <c r="N70" s="32" t="inlineStr">
        <is>
          <t>重点铺货，建议配 3-5 个颜色SKU组套出图；可做「主推+搭售」组合</t>
        </is>
      </c>
    </row>
    <row r="71">
      <c r="A71" s="25" t="n">
        <v>69</v>
      </c>
      <c r="B71" s="25" t="inlineStr">
        <is>
          <t>现代</t>
        </is>
      </c>
      <c r="C71" s="33" t="inlineStr">
        <is>
          <t>A</t>
        </is>
      </c>
      <c r="D71" s="26" t="inlineStr">
        <is>
          <t>循环扇</t>
        </is>
      </c>
      <c r="E71" s="26" t="inlineStr">
        <is>
          <t>空气循环扇</t>
        </is>
      </c>
      <c r="F71" s="26" t="inlineStr">
        <is>
          <t>现代/循环风扇/橙色</t>
        </is>
      </c>
      <c r="G71" s="26" t="inlineStr">
        <is>
          <t>XD-XFS-C</t>
        </is>
      </c>
      <c r="H71" s="29" t="n">
        <v>22</v>
      </c>
      <c r="I71" s="25" t="inlineStr">
        <is>
          <t>¥21–24</t>
        </is>
      </c>
      <c r="J71" s="29" t="n">
        <v>18</v>
      </c>
      <c r="K71" s="29" t="n">
        <v>24</v>
      </c>
      <c r="L71" s="37" t="n">
        <v>76.5</v>
      </c>
      <c r="M71" s="28" t="n">
        <v>6.63</v>
      </c>
      <c r="N71" s="32" t="inlineStr">
        <is>
          <t>重点铺货，建议配 3-5 个颜色SKU组套出图；可做「主推+搭售」组合</t>
        </is>
      </c>
    </row>
    <row r="72">
      <c r="A72" s="25" t="n">
        <v>70</v>
      </c>
      <c r="B72" s="25" t="inlineStr">
        <is>
          <t>现代</t>
        </is>
      </c>
      <c r="C72" s="33" t="inlineStr">
        <is>
          <t>A</t>
        </is>
      </c>
      <c r="D72" s="26" t="inlineStr">
        <is>
          <t>循环扇</t>
        </is>
      </c>
      <c r="E72" s="26" t="inlineStr">
        <is>
          <t>空气循环扇</t>
        </is>
      </c>
      <c r="F72" s="26" t="inlineStr">
        <is>
          <t>现代/循环风扇/蓝色</t>
        </is>
      </c>
      <c r="G72" s="26" t="inlineStr">
        <is>
          <t>XD-XFS-L</t>
        </is>
      </c>
      <c r="H72" s="29" t="n">
        <v>22</v>
      </c>
      <c r="I72" s="25" t="inlineStr">
        <is>
          <t>¥21–24</t>
        </is>
      </c>
      <c r="J72" s="29" t="n">
        <v>18</v>
      </c>
      <c r="K72" s="29" t="n">
        <v>24</v>
      </c>
      <c r="L72" s="37" t="n">
        <v>76.5</v>
      </c>
      <c r="M72" s="28" t="n">
        <v>6.63</v>
      </c>
      <c r="N72" s="32" t="inlineStr">
        <is>
          <t>重点铺货，建议配 3-5 个颜色SKU组套出图；可做「主推+搭售」组合</t>
        </is>
      </c>
    </row>
    <row r="73">
      <c r="A73" s="25" t="n">
        <v>71</v>
      </c>
      <c r="B73" s="25" t="inlineStr">
        <is>
          <t>夏新</t>
        </is>
      </c>
      <c r="C73" s="35" t="inlineStr">
        <is>
          <t>B</t>
        </is>
      </c>
      <c r="D73" s="26" t="inlineStr">
        <is>
          <t>破壁料理机</t>
        </is>
      </c>
      <c r="E73" s="26" t="inlineStr">
        <is>
          <t>迷你破壁料理机</t>
        </is>
      </c>
      <c r="F73" s="26" t="inlineStr">
        <is>
          <t>夏新/破壁料理机/1200ml/TJ-513</t>
        </is>
      </c>
      <c r="G73" s="26" t="inlineStr">
        <is>
          <t>XX-PBJ-01</t>
        </is>
      </c>
      <c r="H73" s="29" t="n">
        <v>38</v>
      </c>
      <c r="I73" s="25" t="inlineStr">
        <is>
          <t>¥38–39</t>
        </is>
      </c>
      <c r="J73" s="29" t="n">
        <v>36</v>
      </c>
      <c r="K73" s="29" t="n">
        <v>59</v>
      </c>
      <c r="L73" s="37" t="n">
        <v>14</v>
      </c>
      <c r="M73" s="28" t="n">
        <v>6.6</v>
      </c>
      <c r="N73" s="32" t="inlineStr">
        <is>
          <t>常规备选，放在长尾分类；用低价冲量，不单独投流</t>
        </is>
      </c>
    </row>
    <row r="74">
      <c r="A74" s="25" t="n">
        <v>72</v>
      </c>
      <c r="B74" s="25" t="inlineStr">
        <is>
          <t>夏新</t>
        </is>
      </c>
      <c r="C74" s="35" t="inlineStr">
        <is>
          <t>B</t>
        </is>
      </c>
      <c r="D74" s="26" t="inlineStr">
        <is>
          <t>破壁料理机</t>
        </is>
      </c>
      <c r="E74" s="26" t="inlineStr">
        <is>
          <t>迷你破壁料理机</t>
        </is>
      </c>
      <c r="F74" s="26" t="inlineStr">
        <is>
          <t>夏新/破壁料理机/1600ml/TJ-514</t>
        </is>
      </c>
      <c r="G74" s="26" t="inlineStr">
        <is>
          <t>XX-PBJ-02</t>
        </is>
      </c>
      <c r="H74" s="29" t="n">
        <v>38</v>
      </c>
      <c r="I74" s="25" t="inlineStr">
        <is>
          <t>¥38–39</t>
        </is>
      </c>
      <c r="J74" s="29" t="n">
        <v>36</v>
      </c>
      <c r="K74" s="29" t="n">
        <v>59</v>
      </c>
      <c r="L74" s="37" t="n">
        <v>14</v>
      </c>
      <c r="M74" s="28" t="n">
        <v>6.6</v>
      </c>
      <c r="N74" s="32" t="inlineStr">
        <is>
          <t>常规备选，放在长尾分类；用低价冲量，不单独投流</t>
        </is>
      </c>
    </row>
    <row r="75">
      <c r="A75" s="25" t="n">
        <v>73</v>
      </c>
      <c r="B75" s="25" t="inlineStr">
        <is>
          <t>通货</t>
        </is>
      </c>
      <c r="C75" s="35" t="inlineStr">
        <is>
          <t>B</t>
        </is>
      </c>
      <c r="D75" s="26" t="inlineStr">
        <is>
          <t>除螨皂</t>
        </is>
      </c>
      <c r="E75" s="26" t="inlineStr">
        <is>
          <t>思密丝/止痒抑螨皂</t>
        </is>
      </c>
      <c r="F75" s="26" t="inlineStr">
        <is>
          <t>思密丝/艾草香皂</t>
        </is>
      </c>
      <c r="G75" s="26" t="inlineStr">
        <is>
          <t>SMS/ACXZ01</t>
        </is>
      </c>
      <c r="H75" s="29" t="n">
        <v>8</v>
      </c>
      <c r="I75" s="25" t="inlineStr">
        <is>
          <t>¥6–11</t>
        </is>
      </c>
      <c r="J75" s="29" t="n">
        <v>6</v>
      </c>
      <c r="K75" s="29" t="n">
        <v>15</v>
      </c>
      <c r="L75" s="37" t="n">
        <v>92.5</v>
      </c>
      <c r="M75" s="28" t="n">
        <v>6.59</v>
      </c>
      <c r="N75" s="32" t="inlineStr">
        <is>
          <t>常规备选，放在长尾分类；用低价冲量，不单独投流</t>
        </is>
      </c>
    </row>
    <row r="76">
      <c r="A76" s="25" t="n">
        <v>74</v>
      </c>
      <c r="B76" s="25" t="inlineStr">
        <is>
          <t>mericle</t>
        </is>
      </c>
      <c r="C76" s="35" t="inlineStr">
        <is>
          <t>B</t>
        </is>
      </c>
      <c r="D76" s="26" t="inlineStr">
        <is>
          <t>修足器磨头</t>
        </is>
      </c>
      <c r="E76" s="26" t="inlineStr">
        <is>
          <t>修足器磨头</t>
        </is>
      </c>
      <c r="F76" s="26" t="inlineStr">
        <is>
          <t>康佳/修足器三代/磨头</t>
        </is>
      </c>
      <c r="G76" s="26" t="inlineStr">
        <is>
          <t>XZQ-10</t>
        </is>
      </c>
      <c r="H76" s="29" t="n">
        <v>14</v>
      </c>
      <c r="I76" s="25" t="inlineStr">
        <is>
          <t>¥10–17</t>
        </is>
      </c>
      <c r="J76" s="29" t="n">
        <v>10</v>
      </c>
      <c r="K76" s="29" t="n">
        <v>30</v>
      </c>
      <c r="L76" s="37" t="n">
        <v>1</v>
      </c>
      <c r="M76" s="28" t="n">
        <v>6.54</v>
      </c>
      <c r="N76" s="32" t="inlineStr">
        <is>
          <t>常规备选，放在长尾分类；用低价冲量，不单独投流</t>
        </is>
      </c>
    </row>
    <row r="77">
      <c r="A77" s="25" t="n">
        <v>75</v>
      </c>
      <c r="B77" s="25" t="inlineStr">
        <is>
          <t>康佳</t>
        </is>
      </c>
      <c r="C77" s="35" t="inlineStr">
        <is>
          <t>B</t>
        </is>
      </c>
      <c r="D77" s="26" t="inlineStr">
        <is>
          <t>修足器磨头</t>
        </is>
      </c>
      <c r="E77" s="26" t="inlineStr">
        <is>
          <t>修足器磨头</t>
        </is>
      </c>
      <c r="F77" s="26" t="inlineStr">
        <is>
          <t>康佳/修足器二代/磨头</t>
        </is>
      </c>
      <c r="G77" s="26" t="inlineStr">
        <is>
          <t>XZQ-06</t>
        </is>
      </c>
      <c r="H77" s="29" t="n">
        <v>14</v>
      </c>
      <c r="I77" s="25" t="inlineStr">
        <is>
          <t>¥10–17</t>
        </is>
      </c>
      <c r="J77" s="29" t="n">
        <v>10</v>
      </c>
      <c r="K77" s="29" t="n">
        <v>30</v>
      </c>
      <c r="L77" s="37" t="n">
        <v>1</v>
      </c>
      <c r="M77" s="28" t="n">
        <v>6.54</v>
      </c>
      <c r="N77" s="32" t="inlineStr">
        <is>
          <t>常规备选，放在长尾分类；用低价冲量，不单独投流</t>
        </is>
      </c>
    </row>
    <row r="78">
      <c r="A78" s="25" t="n">
        <v>76</v>
      </c>
      <c r="B78" s="25" t="inlineStr">
        <is>
          <t>康佳</t>
        </is>
      </c>
      <c r="C78" s="35" t="inlineStr">
        <is>
          <t>B</t>
        </is>
      </c>
      <c r="D78" s="26" t="inlineStr">
        <is>
          <t>修足器磨头</t>
        </is>
      </c>
      <c r="E78" s="26" t="inlineStr">
        <is>
          <t>修足器磨头</t>
        </is>
      </c>
      <c r="F78" s="26" t="inlineStr">
        <is>
          <t>康佳/修足器三代/磨头</t>
        </is>
      </c>
      <c r="G78" s="26" t="inlineStr">
        <is>
          <t>XZQ-10</t>
        </is>
      </c>
      <c r="H78" s="29" t="n">
        <v>14</v>
      </c>
      <c r="I78" s="25" t="inlineStr">
        <is>
          <t>¥10–17</t>
        </is>
      </c>
      <c r="J78" s="29" t="n">
        <v>10</v>
      </c>
      <c r="K78" s="29" t="n">
        <v>30</v>
      </c>
      <c r="L78" s="37" t="n">
        <v>1</v>
      </c>
      <c r="M78" s="28" t="n">
        <v>6.54</v>
      </c>
      <c r="N78" s="32" t="inlineStr">
        <is>
          <t>常规备选，放在长尾分类；用低价冲量，不单独投流</t>
        </is>
      </c>
    </row>
    <row r="79">
      <c r="A79" s="25" t="n">
        <v>77</v>
      </c>
      <c r="B79" s="25" t="inlineStr">
        <is>
          <t>康佳</t>
        </is>
      </c>
      <c r="C79" s="35" t="inlineStr">
        <is>
          <t>B</t>
        </is>
      </c>
      <c r="D79" s="26" t="inlineStr">
        <is>
          <t>修足器磨头</t>
        </is>
      </c>
      <c r="E79" s="26" t="inlineStr">
        <is>
          <t>修足器磨头</t>
        </is>
      </c>
      <c r="F79" s="26" t="inlineStr">
        <is>
          <t>康佳/修足器三代L/蓝色磨头</t>
        </is>
      </c>
      <c r="G79" s="26" t="inlineStr">
        <is>
          <t>XZQ-17</t>
        </is>
      </c>
      <c r="H79" s="29" t="n">
        <v>14</v>
      </c>
      <c r="I79" s="25" t="inlineStr">
        <is>
          <t>¥10–17</t>
        </is>
      </c>
      <c r="J79" s="29" t="n">
        <v>10</v>
      </c>
      <c r="K79" s="29" t="n">
        <v>30</v>
      </c>
      <c r="L79" s="37" t="n">
        <v>1</v>
      </c>
      <c r="M79" s="28" t="n">
        <v>6.54</v>
      </c>
      <c r="N79" s="32" t="inlineStr">
        <is>
          <t>常规备选，放在长尾分类；用低价冲量，不单独投流</t>
        </is>
      </c>
    </row>
    <row r="80">
      <c r="A80" s="25" t="n">
        <v>78</v>
      </c>
      <c r="B80" s="25" t="inlineStr">
        <is>
          <t>康佳</t>
        </is>
      </c>
      <c r="C80" s="35" t="inlineStr">
        <is>
          <t>B</t>
        </is>
      </c>
      <c r="D80" s="26" t="inlineStr">
        <is>
          <t>修足器磨头</t>
        </is>
      </c>
      <c r="E80" s="26" t="inlineStr">
        <is>
          <t>修足器磨头</t>
        </is>
      </c>
      <c r="F80" s="26" t="inlineStr">
        <is>
          <t>康佳/修足器三代/磨头</t>
        </is>
      </c>
      <c r="G80" s="26" t="inlineStr">
        <is>
          <t>XZQ-10</t>
        </is>
      </c>
      <c r="H80" s="29" t="n">
        <v>14</v>
      </c>
      <c r="I80" s="25" t="inlineStr">
        <is>
          <t>¥10–17</t>
        </is>
      </c>
      <c r="J80" s="29" t="n">
        <v>10</v>
      </c>
      <c r="K80" s="29" t="n">
        <v>30</v>
      </c>
      <c r="L80" s="37" t="n">
        <v>1</v>
      </c>
      <c r="M80" s="28" t="n">
        <v>6.54</v>
      </c>
      <c r="N80" s="32" t="inlineStr">
        <is>
          <t>常规备选，放在长尾分类；用低价冲量，不单独投流</t>
        </is>
      </c>
    </row>
    <row r="81">
      <c r="A81" s="25" t="n">
        <v>79</v>
      </c>
      <c r="B81" s="25" t="inlineStr">
        <is>
          <t>夏新</t>
        </is>
      </c>
      <c r="C81" s="35" t="inlineStr">
        <is>
          <t>B</t>
        </is>
      </c>
      <c r="D81" s="26" t="inlineStr">
        <is>
          <t>修足器磨头</t>
        </is>
      </c>
      <c r="E81" s="26" t="inlineStr">
        <is>
          <t>磨头套装</t>
        </is>
      </c>
      <c r="F81" s="26" t="inlineStr">
        <is>
          <t>夏新修足器/磨头</t>
        </is>
      </c>
      <c r="G81" s="26" t="inlineStr">
        <is>
          <t>XZQ-12</t>
        </is>
      </c>
      <c r="H81" s="29" t="n">
        <v>14</v>
      </c>
      <c r="I81" s="25" t="inlineStr">
        <is>
          <t>¥10–17</t>
        </is>
      </c>
      <c r="J81" s="29" t="n">
        <v>10</v>
      </c>
      <c r="K81" s="29" t="n">
        <v>30</v>
      </c>
      <c r="L81" s="37" t="n">
        <v>1</v>
      </c>
      <c r="M81" s="28" t="n">
        <v>6.54</v>
      </c>
      <c r="N81" s="32" t="inlineStr">
        <is>
          <t>常规备选，放在长尾分类；用低价冲量，不单独投流</t>
        </is>
      </c>
    </row>
    <row r="82">
      <c r="A82" s="25" t="n">
        <v>80</v>
      </c>
      <c r="B82" s="25" t="inlineStr">
        <is>
          <t>mericle</t>
        </is>
      </c>
      <c r="C82" s="35" t="inlineStr">
        <is>
          <t>B</t>
        </is>
      </c>
      <c r="D82" s="26" t="inlineStr">
        <is>
          <t>车载吸尘器</t>
        </is>
      </c>
      <c r="E82" s="26" t="inlineStr">
        <is>
          <t>手持吸尘器</t>
        </is>
      </c>
      <c r="F82" s="26" t="inlineStr">
        <is>
          <t>Mericle/手持车载吸尘器</t>
        </is>
      </c>
      <c r="G82" s="26" t="inlineStr">
        <is>
          <t>Mericle-XCQ-01</t>
        </is>
      </c>
      <c r="H82" s="29" t="n">
        <v>26</v>
      </c>
      <c r="I82" s="25" t="inlineStr">
        <is>
          <t>¥24–29</t>
        </is>
      </c>
      <c r="J82" s="29" t="n">
        <v>23</v>
      </c>
      <c r="K82" s="29" t="n">
        <v>39</v>
      </c>
      <c r="L82" s="37" t="n">
        <v>18.5</v>
      </c>
      <c r="M82" s="28" t="n">
        <v>6.5</v>
      </c>
      <c r="N82" s="32" t="inlineStr">
        <is>
          <t>常规备选，放在长尾分类；用低价冲量，不单独投流</t>
        </is>
      </c>
    </row>
    <row r="83">
      <c r="A83" s="25" t="n">
        <v>81</v>
      </c>
      <c r="B83" s="25" t="inlineStr">
        <is>
          <t>mericle</t>
        </is>
      </c>
      <c r="C83" s="35" t="inlineStr">
        <is>
          <t>B</t>
        </is>
      </c>
      <c r="D83" s="26" t="inlineStr">
        <is>
          <t>车载吸尘器</t>
        </is>
      </c>
      <c r="E83" s="26" t="inlineStr">
        <is>
          <t>车载吸尘器</t>
        </is>
      </c>
      <c r="F83" s="26" t="inlineStr">
        <is>
          <t>Mericle/车载吸尘器白/YM-T5800</t>
        </is>
      </c>
      <c r="G83" s="26" t="inlineStr">
        <is>
          <t>Mericle-XCQ-02</t>
        </is>
      </c>
      <c r="H83" s="29" t="n">
        <v>26</v>
      </c>
      <c r="I83" s="25" t="inlineStr">
        <is>
          <t>¥24–29</t>
        </is>
      </c>
      <c r="J83" s="29" t="n">
        <v>23</v>
      </c>
      <c r="K83" s="29" t="n">
        <v>39</v>
      </c>
      <c r="L83" s="37" t="n">
        <v>18.5</v>
      </c>
      <c r="M83" s="28" t="n">
        <v>6.5</v>
      </c>
      <c r="N83" s="32" t="inlineStr">
        <is>
          <t>常规备选，放在长尾分类；用低价冲量，不单独投流</t>
        </is>
      </c>
    </row>
    <row r="84">
      <c r="A84" s="25" t="n">
        <v>82</v>
      </c>
      <c r="B84" s="25" t="inlineStr">
        <is>
          <t>mericle</t>
        </is>
      </c>
      <c r="C84" s="35" t="inlineStr">
        <is>
          <t>B</t>
        </is>
      </c>
      <c r="D84" s="26" t="inlineStr">
        <is>
          <t>车载吸尘器</t>
        </is>
      </c>
      <c r="E84" s="26" t="inlineStr">
        <is>
          <t>车载吸尘器</t>
        </is>
      </c>
      <c r="F84" s="26" t="inlineStr">
        <is>
          <t>Mericle/车载吸尘器银/YM-T5800</t>
        </is>
      </c>
      <c r="G84" s="26" t="inlineStr">
        <is>
          <t>Mericle-XCQ-03</t>
        </is>
      </c>
      <c r="H84" s="29" t="n">
        <v>26</v>
      </c>
      <c r="I84" s="25" t="inlineStr">
        <is>
          <t>¥24–29</t>
        </is>
      </c>
      <c r="J84" s="29" t="n">
        <v>23</v>
      </c>
      <c r="K84" s="29" t="n">
        <v>39</v>
      </c>
      <c r="L84" s="37" t="n">
        <v>18.5</v>
      </c>
      <c r="M84" s="28" t="n">
        <v>6.5</v>
      </c>
      <c r="N84" s="32" t="inlineStr">
        <is>
          <t>常规备选，放在长尾分类；用低价冲量，不单独投流</t>
        </is>
      </c>
    </row>
    <row r="85">
      <c r="A85" s="25" t="n">
        <v>83</v>
      </c>
      <c r="B85" s="25" t="inlineStr">
        <is>
          <t>mericle</t>
        </is>
      </c>
      <c r="C85" s="35" t="inlineStr">
        <is>
          <t>B</t>
        </is>
      </c>
      <c r="D85" s="26" t="inlineStr">
        <is>
          <t>车载吸尘器</t>
        </is>
      </c>
      <c r="E85" s="26" t="inlineStr">
        <is>
          <t>手持吸尘器</t>
        </is>
      </c>
      <c r="F85" s="26" t="inlineStr">
        <is>
          <t>Mericle/手持车载吸尘器/YT-M2054-B</t>
        </is>
      </c>
      <c r="G85" s="26" t="inlineStr">
        <is>
          <t>Mericle-XCQ-05</t>
        </is>
      </c>
      <c r="H85" s="29" t="n">
        <v>26</v>
      </c>
      <c r="I85" s="25" t="inlineStr">
        <is>
          <t>¥24–29</t>
        </is>
      </c>
      <c r="J85" s="29" t="n">
        <v>23</v>
      </c>
      <c r="K85" s="29" t="n">
        <v>39</v>
      </c>
      <c r="L85" s="37" t="n">
        <v>18.5</v>
      </c>
      <c r="M85" s="28" t="n">
        <v>6.5</v>
      </c>
      <c r="N85" s="32" t="inlineStr">
        <is>
          <t>常规备选，放在长尾分类；用低价冲量，不单独投流</t>
        </is>
      </c>
    </row>
    <row r="86">
      <c r="A86" s="25" t="n">
        <v>84</v>
      </c>
      <c r="B86" s="25" t="inlineStr">
        <is>
          <t>mericle</t>
        </is>
      </c>
      <c r="C86" s="35" t="inlineStr">
        <is>
          <t>B</t>
        </is>
      </c>
      <c r="D86" s="26" t="inlineStr">
        <is>
          <t>车载吸尘器</t>
        </is>
      </c>
      <c r="E86" s="26" t="inlineStr">
        <is>
          <t>车载吸尘器</t>
        </is>
      </c>
      <c r="F86" s="26" t="inlineStr">
        <is>
          <t>Mericle/车载吸尘器黑/CX-1681</t>
        </is>
      </c>
      <c r="G86" s="26" t="inlineStr">
        <is>
          <t>Mericle-XCQ-07</t>
        </is>
      </c>
      <c r="H86" s="29" t="n">
        <v>26</v>
      </c>
      <c r="I86" s="25" t="inlineStr">
        <is>
          <t>¥24–29</t>
        </is>
      </c>
      <c r="J86" s="29" t="n">
        <v>23</v>
      </c>
      <c r="K86" s="29" t="n">
        <v>39</v>
      </c>
      <c r="L86" s="37" t="n">
        <v>18.5</v>
      </c>
      <c r="M86" s="28" t="n">
        <v>6.5</v>
      </c>
      <c r="N86" s="32" t="inlineStr">
        <is>
          <t>常规备选，放在长尾分类；用低价冲量，不单独投流</t>
        </is>
      </c>
    </row>
    <row r="87">
      <c r="A87" s="25" t="n">
        <v>85</v>
      </c>
      <c r="B87" s="25" t="inlineStr">
        <is>
          <t>mericle</t>
        </is>
      </c>
      <c r="C87" s="35" t="inlineStr">
        <is>
          <t>B</t>
        </is>
      </c>
      <c r="D87" s="26" t="inlineStr">
        <is>
          <t>车载吸尘器</t>
        </is>
      </c>
      <c r="E87" s="26" t="inlineStr">
        <is>
          <t>车载吸尘器</t>
        </is>
      </c>
      <c r="F87" s="26" t="inlineStr">
        <is>
          <t>Mericle/车载吸尘器白/CX-1681</t>
        </is>
      </c>
      <c r="G87" s="26" t="inlineStr">
        <is>
          <t>Mericle-XCQ-06</t>
        </is>
      </c>
      <c r="H87" s="29" t="n">
        <v>26</v>
      </c>
      <c r="I87" s="25" t="inlineStr">
        <is>
          <t>¥24–29</t>
        </is>
      </c>
      <c r="J87" s="29" t="n">
        <v>23</v>
      </c>
      <c r="K87" s="29" t="n">
        <v>39</v>
      </c>
      <c r="L87" s="37" t="n">
        <v>18.5</v>
      </c>
      <c r="M87" s="28" t="n">
        <v>6.5</v>
      </c>
      <c r="N87" s="32" t="inlineStr">
        <is>
          <t>常规备选，放在长尾分类；用低价冲量，不单独投流</t>
        </is>
      </c>
    </row>
    <row r="88">
      <c r="A88" s="25" t="n">
        <v>86</v>
      </c>
      <c r="B88" s="25" t="inlineStr">
        <is>
          <t>mericle</t>
        </is>
      </c>
      <c r="C88" s="35" t="inlineStr">
        <is>
          <t>B</t>
        </is>
      </c>
      <c r="D88" s="26" t="inlineStr">
        <is>
          <t>车载吸尘器</t>
        </is>
      </c>
      <c r="E88" s="26" t="inlineStr">
        <is>
          <t>车载吸尘器</t>
        </is>
      </c>
      <c r="F88" s="26" t="inlineStr">
        <is>
          <t>Mericle/车载吸尘器黑/2421</t>
        </is>
      </c>
      <c r="G88" s="26" t="inlineStr">
        <is>
          <t>Mericle-XCQ-08</t>
        </is>
      </c>
      <c r="H88" s="29" t="n">
        <v>26</v>
      </c>
      <c r="I88" s="25" t="inlineStr">
        <is>
          <t>¥24–29</t>
        </is>
      </c>
      <c r="J88" s="29" t="n">
        <v>23</v>
      </c>
      <c r="K88" s="29" t="n">
        <v>39</v>
      </c>
      <c r="L88" s="37" t="n">
        <v>18.5</v>
      </c>
      <c r="M88" s="28" t="n">
        <v>6.5</v>
      </c>
      <c r="N88" s="32" t="inlineStr">
        <is>
          <t>常规备选，放在长尾分类；用低价冲量，不单独投流</t>
        </is>
      </c>
    </row>
    <row r="89">
      <c r="A89" s="25" t="n">
        <v>87</v>
      </c>
      <c r="B89" s="25" t="inlineStr">
        <is>
          <t>mericle</t>
        </is>
      </c>
      <c r="C89" s="35" t="inlineStr">
        <is>
          <t>B</t>
        </is>
      </c>
      <c r="D89" s="26" t="inlineStr">
        <is>
          <t>车载吸尘器</t>
        </is>
      </c>
      <c r="E89" s="26" t="inlineStr">
        <is>
          <t>车载吸尘器</t>
        </is>
      </c>
      <c r="F89" s="26" t="inlineStr">
        <is>
          <t>Mericle/车载吸尘器蓝/2421</t>
        </is>
      </c>
      <c r="G89" s="26" t="inlineStr">
        <is>
          <t>Mericle-XCQ-10</t>
        </is>
      </c>
      <c r="H89" s="29" t="n">
        <v>26</v>
      </c>
      <c r="I89" s="25" t="inlineStr">
        <is>
          <t>¥24–29</t>
        </is>
      </c>
      <c r="J89" s="29" t="n">
        <v>23</v>
      </c>
      <c r="K89" s="29" t="n">
        <v>39</v>
      </c>
      <c r="L89" s="37" t="n">
        <v>18.5</v>
      </c>
      <c r="M89" s="28" t="n">
        <v>6.5</v>
      </c>
      <c r="N89" s="32" t="inlineStr">
        <is>
          <t>常规备选，放在长尾分类；用低价冲量，不单独投流</t>
        </is>
      </c>
    </row>
    <row r="90">
      <c r="A90" s="25" t="n">
        <v>88</v>
      </c>
      <c r="B90" s="25" t="inlineStr">
        <is>
          <t>mericle</t>
        </is>
      </c>
      <c r="C90" s="35" t="inlineStr">
        <is>
          <t>B</t>
        </is>
      </c>
      <c r="D90" s="26" t="inlineStr">
        <is>
          <t>车载吸尘器</t>
        </is>
      </c>
      <c r="E90" s="26" t="inlineStr">
        <is>
          <t>手持吸尘器</t>
        </is>
      </c>
      <c r="F90" s="26" t="inlineStr">
        <is>
          <t>Mericle/车载吸尘器灰紫/JY-2025A</t>
        </is>
      </c>
      <c r="G90" s="26" t="inlineStr">
        <is>
          <t>Mericle-XCQ-09</t>
        </is>
      </c>
      <c r="H90" s="29" t="n">
        <v>26</v>
      </c>
      <c r="I90" s="25" t="inlineStr">
        <is>
          <t>¥24–29</t>
        </is>
      </c>
      <c r="J90" s="29" t="n">
        <v>23</v>
      </c>
      <c r="K90" s="29" t="n">
        <v>39</v>
      </c>
      <c r="L90" s="37" t="n">
        <v>18.5</v>
      </c>
      <c r="M90" s="28" t="n">
        <v>6.5</v>
      </c>
      <c r="N90" s="32" t="inlineStr">
        <is>
          <t>常规备选，放在长尾分类；用低价冲量，不单独投流</t>
        </is>
      </c>
    </row>
    <row r="91">
      <c r="A91" s="25" t="n">
        <v>89</v>
      </c>
      <c r="B91" s="25" t="inlineStr">
        <is>
          <t>mericle</t>
        </is>
      </c>
      <c r="C91" s="35" t="inlineStr">
        <is>
          <t>B</t>
        </is>
      </c>
      <c r="D91" s="26" t="inlineStr">
        <is>
          <t>车载吸尘器</t>
        </is>
      </c>
      <c r="E91" s="26" t="inlineStr">
        <is>
          <t>手持吸尘器</t>
        </is>
      </c>
      <c r="F91" s="26" t="inlineStr">
        <is>
          <t>Mericle/车载吸尘器/YT-M2058</t>
        </is>
      </c>
      <c r="G91" s="26" t="inlineStr">
        <is>
          <t>Mericle-XCQ-11</t>
        </is>
      </c>
      <c r="H91" s="29" t="n">
        <v>26</v>
      </c>
      <c r="I91" s="25" t="inlineStr">
        <is>
          <t>¥24–29</t>
        </is>
      </c>
      <c r="J91" s="29" t="n">
        <v>23</v>
      </c>
      <c r="K91" s="29" t="n">
        <v>39</v>
      </c>
      <c r="L91" s="37" t="n">
        <v>18.5</v>
      </c>
      <c r="M91" s="28" t="n">
        <v>6.5</v>
      </c>
      <c r="N91" s="32" t="inlineStr">
        <is>
          <t>常规备选，放在长尾分类；用低价冲量，不单独投流</t>
        </is>
      </c>
    </row>
    <row r="92">
      <c r="A92" s="25" t="n">
        <v>90</v>
      </c>
      <c r="B92" s="25" t="inlineStr">
        <is>
          <t>mericle</t>
        </is>
      </c>
      <c r="C92" s="35" t="inlineStr">
        <is>
          <t>B</t>
        </is>
      </c>
      <c r="D92" s="26" t="inlineStr">
        <is>
          <t>车载吸尘器</t>
        </is>
      </c>
      <c r="E92" s="26" t="inlineStr">
        <is>
          <t>手持吸尘器</t>
        </is>
      </c>
      <c r="F92" s="26" t="inlineStr">
        <is>
          <t>Mericle/车载吸尘器/YT-M2069</t>
        </is>
      </c>
      <c r="G92" s="26" t="inlineStr">
        <is>
          <t>Mericle-XCQ-12</t>
        </is>
      </c>
      <c r="H92" s="29" t="n">
        <v>26</v>
      </c>
      <c r="I92" s="25" t="inlineStr">
        <is>
          <t>¥24–29</t>
        </is>
      </c>
      <c r="J92" s="29" t="n">
        <v>23</v>
      </c>
      <c r="K92" s="29" t="n">
        <v>39</v>
      </c>
      <c r="L92" s="37" t="n">
        <v>18.5</v>
      </c>
      <c r="M92" s="28" t="n">
        <v>6.5</v>
      </c>
      <c r="N92" s="32" t="inlineStr">
        <is>
          <t>常规备选，放在长尾分类；用低价冲量，不单独投流</t>
        </is>
      </c>
    </row>
    <row r="93">
      <c r="A93" s="25" t="n">
        <v>91</v>
      </c>
      <c r="B93" s="25" t="inlineStr">
        <is>
          <t>美悟</t>
        </is>
      </c>
      <c r="C93" s="35" t="inlineStr">
        <is>
          <t>B</t>
        </is>
      </c>
      <c r="D93" s="26" t="inlineStr">
        <is>
          <t>车载吸尘器</t>
        </is>
      </c>
      <c r="E93" s="26" t="inlineStr">
        <is>
          <t>车载吸尘器</t>
        </is>
      </c>
      <c r="F93" s="26" t="inlineStr">
        <is>
          <t>美悟/车载吸尘器黑/CX-1681</t>
        </is>
      </c>
      <c r="G93" s="26" t="inlineStr">
        <is>
          <t>MY-XCQ-11</t>
        </is>
      </c>
      <c r="H93" s="29" t="n">
        <v>26</v>
      </c>
      <c r="I93" s="25" t="inlineStr">
        <is>
          <t>¥24–29</t>
        </is>
      </c>
      <c r="J93" s="29" t="n">
        <v>23</v>
      </c>
      <c r="K93" s="29" t="n">
        <v>39</v>
      </c>
      <c r="L93" s="37" t="n">
        <v>18.5</v>
      </c>
      <c r="M93" s="28" t="n">
        <v>6.5</v>
      </c>
      <c r="N93" s="32" t="inlineStr">
        <is>
          <t>常规备选，放在长尾分类；用低价冲量，不单独投流</t>
        </is>
      </c>
    </row>
    <row r="94">
      <c r="A94" s="25" t="n">
        <v>92</v>
      </c>
      <c r="B94" s="25" t="inlineStr">
        <is>
          <t>美悟</t>
        </is>
      </c>
      <c r="C94" s="35" t="inlineStr">
        <is>
          <t>B</t>
        </is>
      </c>
      <c r="D94" s="26" t="inlineStr">
        <is>
          <t>车载吸尘器</t>
        </is>
      </c>
      <c r="E94" s="26" t="inlineStr">
        <is>
          <t>车载吸尘器</t>
        </is>
      </c>
      <c r="F94" s="26" t="inlineStr">
        <is>
          <t>美悟/车载吸尘器白/CX-1681</t>
        </is>
      </c>
      <c r="G94" s="26" t="inlineStr">
        <is>
          <t>MY-XCQ-12</t>
        </is>
      </c>
      <c r="H94" s="29" t="n">
        <v>26</v>
      </c>
      <c r="I94" s="25" t="inlineStr">
        <is>
          <t>¥24–29</t>
        </is>
      </c>
      <c r="J94" s="29" t="n">
        <v>23</v>
      </c>
      <c r="K94" s="29" t="n">
        <v>39</v>
      </c>
      <c r="L94" s="37" t="n">
        <v>18.5</v>
      </c>
      <c r="M94" s="28" t="n">
        <v>6.5</v>
      </c>
      <c r="N94" s="32" t="inlineStr">
        <is>
          <t>常规备选，放在长尾分类；用低价冲量，不单独投流</t>
        </is>
      </c>
    </row>
    <row r="95">
      <c r="A95" s="25" t="n">
        <v>93</v>
      </c>
      <c r="B95" s="25" t="inlineStr">
        <is>
          <t>现代</t>
        </is>
      </c>
      <c r="C95" s="35" t="inlineStr">
        <is>
          <t>B</t>
        </is>
      </c>
      <c r="D95" s="26" t="inlineStr">
        <is>
          <t>车载吸尘器</t>
        </is>
      </c>
      <c r="E95" s="26" t="inlineStr">
        <is>
          <t>车载吸尘器</t>
        </is>
      </c>
      <c r="F95" s="26" t="inlineStr">
        <is>
          <t>现代/车载吸尘器</t>
        </is>
      </c>
      <c r="G95" s="26" t="inlineStr">
        <is>
          <t>XD-CZXCQ-01</t>
        </is>
      </c>
      <c r="H95" s="29" t="n">
        <v>26</v>
      </c>
      <c r="I95" s="25" t="inlineStr">
        <is>
          <t>¥24–29</t>
        </is>
      </c>
      <c r="J95" s="29" t="n">
        <v>23</v>
      </c>
      <c r="K95" s="29" t="n">
        <v>39</v>
      </c>
      <c r="L95" s="37" t="n">
        <v>18.5</v>
      </c>
      <c r="M95" s="28" t="n">
        <v>6.5</v>
      </c>
      <c r="N95" s="32" t="inlineStr">
        <is>
          <t>常规备选，放在长尾分类；用低价冲量，不单独投流</t>
        </is>
      </c>
    </row>
    <row r="96">
      <c r="A96" s="25" t="n">
        <v>94</v>
      </c>
      <c r="B96" s="25" t="inlineStr">
        <is>
          <t>mericle</t>
        </is>
      </c>
      <c r="C96" s="35" t="inlineStr">
        <is>
          <t>B</t>
        </is>
      </c>
      <c r="D96" s="26" t="inlineStr">
        <is>
          <t>采耳耳勺可视</t>
        </is>
      </c>
      <c r="E96" s="26" t="inlineStr">
        <is>
          <t>mericle智能可视化耳勺</t>
        </is>
      </c>
      <c r="F96" s="26" t="inlineStr">
        <is>
          <t>mericle/可视耳勺</t>
        </is>
      </c>
      <c r="G96" s="26" t="inlineStr">
        <is>
          <t>mericle-KSES</t>
        </is>
      </c>
      <c r="H96" s="29" t="n">
        <v>15</v>
      </c>
      <c r="I96" s="25" t="inlineStr">
        <is>
          <t>¥15–15</t>
        </is>
      </c>
      <c r="J96" s="29" t="n">
        <v>14</v>
      </c>
      <c r="K96" s="29" t="n">
        <v>23</v>
      </c>
      <c r="L96" s="37" t="n">
        <v>53</v>
      </c>
      <c r="M96" s="28" t="n">
        <v>6.45</v>
      </c>
      <c r="N96" s="32" t="inlineStr">
        <is>
          <t>常规备选，放在长尾分类；用低价冲量，不单独投流</t>
        </is>
      </c>
    </row>
    <row r="97">
      <c r="A97" s="25" t="n">
        <v>95</v>
      </c>
      <c r="B97" s="25" t="inlineStr">
        <is>
          <t>mericle</t>
        </is>
      </c>
      <c r="C97" s="35" t="inlineStr">
        <is>
          <t>B</t>
        </is>
      </c>
      <c r="D97" s="26" t="inlineStr">
        <is>
          <t>采耳耳勺可视</t>
        </is>
      </c>
      <c r="E97" s="26" t="inlineStr">
        <is>
          <t>智能可视耳勺</t>
        </is>
      </c>
      <c r="F97" s="26" t="inlineStr">
        <is>
          <t>Mericle/智能可视耳勺/TR004</t>
        </is>
      </c>
      <c r="G97" s="26" t="inlineStr">
        <is>
          <t>Mericle-KSES-01</t>
        </is>
      </c>
      <c r="H97" s="29" t="n">
        <v>15</v>
      </c>
      <c r="I97" s="25" t="inlineStr">
        <is>
          <t>¥15–15</t>
        </is>
      </c>
      <c r="J97" s="29" t="n">
        <v>14</v>
      </c>
      <c r="K97" s="29" t="n">
        <v>23</v>
      </c>
      <c r="L97" s="37" t="n">
        <v>53</v>
      </c>
      <c r="M97" s="28" t="n">
        <v>6.45</v>
      </c>
      <c r="N97" s="32" t="inlineStr">
        <is>
          <t>常规备选，放在长尾分类；用低价冲量，不单独投流</t>
        </is>
      </c>
    </row>
    <row r="98">
      <c r="A98" s="25" t="n">
        <v>96</v>
      </c>
      <c r="B98" s="25" t="inlineStr">
        <is>
          <t>mericle</t>
        </is>
      </c>
      <c r="C98" s="35" t="inlineStr">
        <is>
          <t>B</t>
        </is>
      </c>
      <c r="D98" s="26" t="inlineStr">
        <is>
          <t>肩颈按摩器</t>
        </is>
      </c>
      <c r="E98" s="26" t="inlineStr">
        <is>
          <t>电动迷你刮痧仪</t>
        </is>
      </c>
      <c r="F98" s="26" t="inlineStr">
        <is>
          <t>Mericle/电动刮痧板/白色</t>
        </is>
      </c>
      <c r="G98" s="26" t="inlineStr">
        <is>
          <t>Mericle-GSB-B</t>
        </is>
      </c>
      <c r="H98" s="29" t="n">
        <v>22</v>
      </c>
      <c r="I98" s="25" t="inlineStr">
        <is>
          <t>¥17–28</t>
        </is>
      </c>
      <c r="J98" s="29" t="n">
        <v>16</v>
      </c>
      <c r="K98" s="29" t="n">
        <v>35</v>
      </c>
      <c r="L98" s="37" t="n">
        <v>18</v>
      </c>
      <c r="M98" s="28" t="n">
        <v>6.42</v>
      </c>
      <c r="N98" s="32" t="inlineStr">
        <is>
          <t>常规备选，放在长尾分类；用低价冲量，不单独投流</t>
        </is>
      </c>
    </row>
    <row r="99">
      <c r="A99" s="25" t="n">
        <v>97</v>
      </c>
      <c r="B99" s="25" t="inlineStr">
        <is>
          <t>mericle</t>
        </is>
      </c>
      <c r="C99" s="35" t="inlineStr">
        <is>
          <t>B</t>
        </is>
      </c>
      <c r="D99" s="26" t="inlineStr">
        <is>
          <t>肩颈按摩器</t>
        </is>
      </c>
      <c r="E99" s="26" t="inlineStr">
        <is>
          <t>按摩器(刮痧仪)</t>
        </is>
      </c>
      <c r="F99" s="26" t="inlineStr">
        <is>
          <t>Mericle/三代刮痧罐/白色</t>
        </is>
      </c>
      <c r="G99" s="26" t="inlineStr">
        <is>
          <t>Mericle-GSG-01</t>
        </is>
      </c>
      <c r="H99" s="29" t="n">
        <v>22</v>
      </c>
      <c r="I99" s="25" t="inlineStr">
        <is>
          <t>¥17–28</t>
        </is>
      </c>
      <c r="J99" s="29" t="n">
        <v>16</v>
      </c>
      <c r="K99" s="29" t="n">
        <v>35</v>
      </c>
      <c r="L99" s="37" t="n">
        <v>18</v>
      </c>
      <c r="M99" s="28" t="n">
        <v>6.42</v>
      </c>
      <c r="N99" s="32" t="inlineStr">
        <is>
          <t>常规备选，放在长尾分类；用低价冲量，不单独投流</t>
        </is>
      </c>
    </row>
    <row r="100">
      <c r="A100" s="25" t="n">
        <v>98</v>
      </c>
      <c r="B100" s="25" t="inlineStr">
        <is>
          <t>mericle</t>
        </is>
      </c>
      <c r="C100" s="35" t="inlineStr">
        <is>
          <t>B</t>
        </is>
      </c>
      <c r="D100" s="26" t="inlineStr">
        <is>
          <t>肩颈按摩器</t>
        </is>
      </c>
      <c r="E100" s="26" t="inlineStr">
        <is>
          <t>按摩器(刮痧仪)</t>
        </is>
      </c>
      <c r="F100" s="26" t="inlineStr">
        <is>
          <t>Mericle/三代刮痧罐/蓝色</t>
        </is>
      </c>
      <c r="G100" s="26" t="inlineStr">
        <is>
          <t>Mericle-GSG-02</t>
        </is>
      </c>
      <c r="H100" s="29" t="n">
        <v>22</v>
      </c>
      <c r="I100" s="25" t="inlineStr">
        <is>
          <t>¥17–28</t>
        </is>
      </c>
      <c r="J100" s="29" t="n">
        <v>16</v>
      </c>
      <c r="K100" s="29" t="n">
        <v>35</v>
      </c>
      <c r="L100" s="37" t="n">
        <v>18</v>
      </c>
      <c r="M100" s="28" t="n">
        <v>6.42</v>
      </c>
      <c r="N100" s="32" t="inlineStr">
        <is>
          <t>常规备选，放在长尾分类；用低价冲量，不单独投流</t>
        </is>
      </c>
    </row>
    <row r="101">
      <c r="A101" s="25" t="n">
        <v>99</v>
      </c>
      <c r="B101" s="25" t="inlineStr">
        <is>
          <t>康佳</t>
        </is>
      </c>
      <c r="C101" s="35" t="inlineStr">
        <is>
          <t>B</t>
        </is>
      </c>
      <c r="D101" s="26" t="inlineStr">
        <is>
          <t>肩颈按摩器</t>
        </is>
      </c>
      <c r="E101" s="26" t="inlineStr">
        <is>
          <t>康佳按摩器</t>
        </is>
      </c>
      <c r="F101" s="26" t="inlineStr">
        <is>
          <t>康佳/按摩器/白色</t>
        </is>
      </c>
      <c r="G101" s="26" t="inlineStr">
        <is>
          <t>KJ-AMQ-BS</t>
        </is>
      </c>
      <c r="H101" s="29" t="n">
        <v>22</v>
      </c>
      <c r="I101" s="25" t="inlineStr">
        <is>
          <t>¥17–28</t>
        </is>
      </c>
      <c r="J101" s="29" t="n">
        <v>16</v>
      </c>
      <c r="K101" s="29" t="n">
        <v>35</v>
      </c>
      <c r="L101" s="37" t="n">
        <v>18</v>
      </c>
      <c r="M101" s="28" t="n">
        <v>6.42</v>
      </c>
      <c r="N101" s="32" t="inlineStr">
        <is>
          <t>常规备选，放在长尾分类；用低价冲量，不单独投流</t>
        </is>
      </c>
    </row>
    <row r="102">
      <c r="A102" s="25" t="n">
        <v>100</v>
      </c>
      <c r="B102" s="25" t="inlineStr">
        <is>
          <t>康佳</t>
        </is>
      </c>
      <c r="C102" s="35" t="inlineStr">
        <is>
          <t>B</t>
        </is>
      </c>
      <c r="D102" s="26" t="inlineStr">
        <is>
          <t>肩颈按摩器</t>
        </is>
      </c>
      <c r="E102" s="26" t="inlineStr">
        <is>
          <t>康佳按摩器</t>
        </is>
      </c>
      <c r="F102" s="26" t="inlineStr">
        <is>
          <t>康佳/刮痧罐/白色</t>
        </is>
      </c>
      <c r="G102" s="26" t="inlineStr">
        <is>
          <t>KJ-GSY-BS</t>
        </is>
      </c>
      <c r="H102" s="29" t="n">
        <v>22</v>
      </c>
      <c r="I102" s="25" t="inlineStr">
        <is>
          <t>¥17–28</t>
        </is>
      </c>
      <c r="J102" s="29" t="n">
        <v>16</v>
      </c>
      <c r="K102" s="29" t="n">
        <v>35</v>
      </c>
      <c r="L102" s="37" t="n">
        <v>18</v>
      </c>
      <c r="M102" s="28" t="n">
        <v>6.42</v>
      </c>
      <c r="N102" s="32" t="inlineStr">
        <is>
          <t>常规备选，放在长尾分类；用低价冲量，不单独投流</t>
        </is>
      </c>
    </row>
    <row r="103">
      <c r="A103" s="25" t="n">
        <v>101</v>
      </c>
      <c r="B103" s="25" t="inlineStr">
        <is>
          <t>康佳</t>
        </is>
      </c>
      <c r="C103" s="35" t="inlineStr">
        <is>
          <t>B</t>
        </is>
      </c>
      <c r="D103" s="26" t="inlineStr">
        <is>
          <t>肩颈按摩器</t>
        </is>
      </c>
      <c r="E103" s="26" t="inlineStr">
        <is>
          <t>康佳按摩器</t>
        </is>
      </c>
      <c r="F103" s="26" t="inlineStr">
        <is>
          <t>康佳/铜砭刮痧板/白色</t>
        </is>
      </c>
      <c r="G103" s="26" t="inlineStr">
        <is>
          <t>KJ-GSB-BS</t>
        </is>
      </c>
      <c r="H103" s="29" t="n">
        <v>22</v>
      </c>
      <c r="I103" s="25" t="inlineStr">
        <is>
          <t>¥17–28</t>
        </is>
      </c>
      <c r="J103" s="29" t="n">
        <v>16</v>
      </c>
      <c r="K103" s="29" t="n">
        <v>35</v>
      </c>
      <c r="L103" s="37" t="n">
        <v>18</v>
      </c>
      <c r="M103" s="28" t="n">
        <v>6.42</v>
      </c>
      <c r="N103" s="32" t="inlineStr">
        <is>
          <t>常规备选，放在长尾分类；用低价冲量，不单独投流</t>
        </is>
      </c>
    </row>
    <row r="104">
      <c r="A104" s="25" t="n">
        <v>102</v>
      </c>
      <c r="B104" s="25" t="inlineStr">
        <is>
          <t>康佳</t>
        </is>
      </c>
      <c r="C104" s="35" t="inlineStr">
        <is>
          <t>B</t>
        </is>
      </c>
      <c r="D104" s="26" t="inlineStr">
        <is>
          <t>肩颈按摩器</t>
        </is>
      </c>
      <c r="E104" s="26" t="inlineStr">
        <is>
          <t>按摩器(刮痧仪)</t>
        </is>
      </c>
      <c r="F104" s="26" t="inlineStr">
        <is>
          <t>康佳/二代刮痧罐/蓝色</t>
        </is>
      </c>
      <c r="G104" s="26" t="inlineStr">
        <is>
          <t>KJ-GSY-01</t>
        </is>
      </c>
      <c r="H104" s="29" t="n">
        <v>22</v>
      </c>
      <c r="I104" s="25" t="inlineStr">
        <is>
          <t>¥17–28</t>
        </is>
      </c>
      <c r="J104" s="29" t="n">
        <v>16</v>
      </c>
      <c r="K104" s="29" t="n">
        <v>35</v>
      </c>
      <c r="L104" s="37" t="n">
        <v>18</v>
      </c>
      <c r="M104" s="28" t="n">
        <v>6.42</v>
      </c>
      <c r="N104" s="32" t="inlineStr">
        <is>
          <t>常规备选，放在长尾分类；用低价冲量，不单独投流</t>
        </is>
      </c>
    </row>
    <row r="105">
      <c r="A105" s="25" t="n">
        <v>103</v>
      </c>
      <c r="B105" s="25" t="inlineStr">
        <is>
          <t>康佳</t>
        </is>
      </c>
      <c r="C105" s="35" t="inlineStr">
        <is>
          <t>B</t>
        </is>
      </c>
      <c r="D105" s="26" t="inlineStr">
        <is>
          <t>肩颈按摩器</t>
        </is>
      </c>
      <c r="E105" s="26" t="inlineStr">
        <is>
          <t>按摩器(刮痧仪)</t>
        </is>
      </c>
      <c r="F105" s="26" t="inlineStr">
        <is>
          <t>康佳/经络按摩仪/蓝色</t>
        </is>
      </c>
      <c r="G105" s="26" t="inlineStr">
        <is>
          <t>KJ-AMY-01</t>
        </is>
      </c>
      <c r="H105" s="29" t="n">
        <v>22</v>
      </c>
      <c r="I105" s="25" t="inlineStr">
        <is>
          <t>¥17–28</t>
        </is>
      </c>
      <c r="J105" s="29" t="n">
        <v>16</v>
      </c>
      <c r="K105" s="29" t="n">
        <v>35</v>
      </c>
      <c r="L105" s="37" t="n">
        <v>18</v>
      </c>
      <c r="M105" s="28" t="n">
        <v>6.42</v>
      </c>
      <c r="N105" s="32" t="inlineStr">
        <is>
          <t>常规备选，放在长尾分类；用低价冲量，不单独投流</t>
        </is>
      </c>
    </row>
    <row r="106">
      <c r="A106" s="25" t="n">
        <v>104</v>
      </c>
      <c r="B106" s="25" t="inlineStr">
        <is>
          <t>康佳</t>
        </is>
      </c>
      <c r="C106" s="35" t="inlineStr">
        <is>
          <t>B</t>
        </is>
      </c>
      <c r="D106" s="26" t="inlineStr">
        <is>
          <t>肩颈按摩器</t>
        </is>
      </c>
      <c r="E106" s="26" t="inlineStr">
        <is>
          <t>按摩器(刮痧仪)</t>
        </is>
      </c>
      <c r="F106" s="26" t="inlineStr">
        <is>
          <t>康佳/刮痧罐/蓝色/KAMQ-3071-T</t>
        </is>
      </c>
      <c r="G106" s="26" t="inlineStr">
        <is>
          <t>KJ-GSY-02</t>
        </is>
      </c>
      <c r="H106" s="29" t="n">
        <v>22</v>
      </c>
      <c r="I106" s="25" t="inlineStr">
        <is>
          <t>¥17–28</t>
        </is>
      </c>
      <c r="J106" s="29" t="n">
        <v>16</v>
      </c>
      <c r="K106" s="29" t="n">
        <v>35</v>
      </c>
      <c r="L106" s="37" t="n">
        <v>18</v>
      </c>
      <c r="M106" s="28" t="n">
        <v>6.42</v>
      </c>
      <c r="N106" s="32" t="inlineStr">
        <is>
          <t>常规备选，放在长尾分类；用低价冲量，不单独投流</t>
        </is>
      </c>
    </row>
    <row r="107">
      <c r="A107" s="25" t="n">
        <v>105</v>
      </c>
      <c r="B107" s="25" t="inlineStr">
        <is>
          <t>通货</t>
        </is>
      </c>
      <c r="C107" s="35" t="inlineStr">
        <is>
          <t>B</t>
        </is>
      </c>
      <c r="D107" s="26" t="inlineStr">
        <is>
          <t>肩颈按摩器</t>
        </is>
      </c>
      <c r="E107" s="26" t="inlineStr">
        <is>
          <t>肩颈按摩器</t>
        </is>
      </c>
      <c r="F107" s="26" t="inlineStr">
        <is>
          <t>肩颈按摩器/JBY-820</t>
        </is>
      </c>
      <c r="G107" s="26" t="inlineStr">
        <is>
          <t>AMQ-01</t>
        </is>
      </c>
      <c r="H107" s="29" t="n">
        <v>22</v>
      </c>
      <c r="I107" s="25" t="inlineStr">
        <is>
          <t>¥17–28</t>
        </is>
      </c>
      <c r="J107" s="29" t="n">
        <v>16</v>
      </c>
      <c r="K107" s="29" t="n">
        <v>35</v>
      </c>
      <c r="L107" s="37" t="n">
        <v>18</v>
      </c>
      <c r="M107" s="28" t="n">
        <v>6.42</v>
      </c>
      <c r="N107" s="32" t="inlineStr">
        <is>
          <t>常规备选，放在长尾分类；用低价冲量，不单独投流</t>
        </is>
      </c>
    </row>
    <row r="108">
      <c r="A108" s="25" t="n">
        <v>106</v>
      </c>
      <c r="B108" s="25" t="inlineStr">
        <is>
          <t>现代</t>
        </is>
      </c>
      <c r="C108" s="35" t="inlineStr">
        <is>
          <t>B</t>
        </is>
      </c>
      <c r="D108" s="26" t="inlineStr">
        <is>
          <t>电动磨甲器</t>
        </is>
      </c>
      <c r="E108" s="26" t="inlineStr">
        <is>
          <t>电动指甲刀</t>
        </is>
      </c>
      <c r="F108" s="26" t="inlineStr">
        <is>
          <t>现代/电动修甲器/白色</t>
        </is>
      </c>
      <c r="G108" s="26" t="inlineStr">
        <is>
          <t>XD/DDXJQ/B</t>
        </is>
      </c>
      <c r="H108" s="29" t="n">
        <v>14</v>
      </c>
      <c r="I108" s="25" t="inlineStr">
        <is>
          <t>¥13–16</t>
        </is>
      </c>
      <c r="J108" s="29" t="n">
        <v>12</v>
      </c>
      <c r="K108" s="29" t="n">
        <v>23</v>
      </c>
      <c r="L108" s="37" t="n">
        <v>102</v>
      </c>
      <c r="M108" s="28" t="n">
        <v>6.42</v>
      </c>
      <c r="N108" s="32" t="inlineStr">
        <is>
          <t>常规备选，放在长尾分类；用低价冲量，不单独投流</t>
        </is>
      </c>
    </row>
    <row r="109">
      <c r="A109" s="25" t="n">
        <v>107</v>
      </c>
      <c r="B109" s="25" t="inlineStr">
        <is>
          <t>现代</t>
        </is>
      </c>
      <c r="C109" s="35" t="inlineStr">
        <is>
          <t>B</t>
        </is>
      </c>
      <c r="D109" s="26" t="inlineStr">
        <is>
          <t>电动磨甲器</t>
        </is>
      </c>
      <c r="E109" s="26" t="inlineStr">
        <is>
          <t>电动指甲刀</t>
        </is>
      </c>
      <c r="F109" s="26" t="inlineStr">
        <is>
          <t>现代/电动修甲器/蓝色</t>
        </is>
      </c>
      <c r="G109" s="26" t="inlineStr">
        <is>
          <t>XD/DDXJQ/L</t>
        </is>
      </c>
      <c r="H109" s="29" t="n">
        <v>14</v>
      </c>
      <c r="I109" s="25" t="inlineStr">
        <is>
          <t>¥13–16</t>
        </is>
      </c>
      <c r="J109" s="29" t="n">
        <v>12</v>
      </c>
      <c r="K109" s="29" t="n">
        <v>23</v>
      </c>
      <c r="L109" s="37" t="n">
        <v>102</v>
      </c>
      <c r="M109" s="28" t="n">
        <v>6.42</v>
      </c>
      <c r="N109" s="32" t="inlineStr">
        <is>
          <t>常规备选，放在长尾分类；用低价冲量，不单独投流</t>
        </is>
      </c>
    </row>
    <row r="110">
      <c r="A110" s="25" t="n">
        <v>108</v>
      </c>
      <c r="B110" s="25" t="inlineStr">
        <is>
          <t>康佳</t>
        </is>
      </c>
      <c r="C110" s="35" t="inlineStr">
        <is>
          <t>B</t>
        </is>
      </c>
      <c r="D110" s="26" t="inlineStr">
        <is>
          <t>烘鞋器</t>
        </is>
      </c>
      <c r="E110" s="26" t="inlineStr">
        <is>
          <t>烘鞋器</t>
        </is>
      </c>
      <c r="F110" s="26" t="inlineStr">
        <is>
          <t>康佳/烘鞋器/白色</t>
        </is>
      </c>
      <c r="G110" s="26" t="inlineStr">
        <is>
          <t>KJ-HXQ-B</t>
        </is>
      </c>
      <c r="H110" s="29" t="n">
        <v>14</v>
      </c>
      <c r="I110" s="25" t="inlineStr">
        <is>
          <t>¥11–16</t>
        </is>
      </c>
      <c r="J110" s="29" t="n">
        <v>10</v>
      </c>
      <c r="K110" s="29" t="n">
        <v>19</v>
      </c>
      <c r="L110" s="37" t="n">
        <v>26</v>
      </c>
      <c r="M110" s="28" t="n">
        <v>6.41</v>
      </c>
      <c r="N110" s="32" t="inlineStr">
        <is>
          <t>常规备选，放在长尾分类；用低价冲量，不单独投流</t>
        </is>
      </c>
    </row>
    <row r="111">
      <c r="A111" s="25" t="n">
        <v>109</v>
      </c>
      <c r="B111" s="25" t="inlineStr">
        <is>
          <t>通货</t>
        </is>
      </c>
      <c r="C111" s="35" t="inlineStr">
        <is>
          <t>B</t>
        </is>
      </c>
      <c r="D111" s="26" t="inlineStr">
        <is>
          <t>烘鞋器</t>
        </is>
      </c>
      <c r="E111" s="26" t="inlineStr">
        <is>
          <t>烘鞋器</t>
        </is>
      </c>
      <c r="F111" s="26" t="inlineStr">
        <is>
          <t>万和/烘鞋器/WZ-HX150</t>
        </is>
      </c>
      <c r="G111" s="26" t="inlineStr">
        <is>
          <t>HXQ-01</t>
        </is>
      </c>
      <c r="H111" s="29" t="n">
        <v>14</v>
      </c>
      <c r="I111" s="25" t="inlineStr">
        <is>
          <t>¥11–16</t>
        </is>
      </c>
      <c r="J111" s="29" t="n">
        <v>10</v>
      </c>
      <c r="K111" s="29" t="n">
        <v>19</v>
      </c>
      <c r="L111" s="37" t="n">
        <v>26</v>
      </c>
      <c r="M111" s="28" t="n">
        <v>6.41</v>
      </c>
      <c r="N111" s="32" t="inlineStr">
        <is>
          <t>常规备选，放在长尾分类；用低价冲量，不单独投流</t>
        </is>
      </c>
    </row>
    <row r="112">
      <c r="A112" s="25" t="n">
        <v>110</v>
      </c>
      <c r="B112" s="25" t="inlineStr">
        <is>
          <t>mericle</t>
        </is>
      </c>
      <c r="C112" s="35" t="inlineStr">
        <is>
          <t>B</t>
        </is>
      </c>
      <c r="D112" s="26" t="inlineStr">
        <is>
          <t>直发器</t>
        </is>
      </c>
      <c r="E112" s="26" t="inlineStr">
        <is>
          <t>直发夹板</t>
        </is>
      </c>
      <c r="F112" s="26" t="inlineStr">
        <is>
          <t>Mericle/直发器/粉色/XN-858</t>
        </is>
      </c>
      <c r="G112" s="26" t="inlineStr">
        <is>
          <t>ZFQ-10</t>
        </is>
      </c>
      <c r="H112" s="29" t="n">
        <v>17</v>
      </c>
      <c r="I112" s="25" t="inlineStr">
        <is>
          <t>¥15–19</t>
        </is>
      </c>
      <c r="J112" s="29" t="n">
        <v>14</v>
      </c>
      <c r="K112" s="29" t="n">
        <v>35</v>
      </c>
      <c r="L112" s="37" t="n">
        <v>4</v>
      </c>
      <c r="M112" s="28" t="n">
        <v>6.37</v>
      </c>
      <c r="N112" s="32" t="inlineStr">
        <is>
          <t>常规备选，放在长尾分类；用低价冲量，不单独投流</t>
        </is>
      </c>
    </row>
    <row r="113">
      <c r="A113" s="25" t="n">
        <v>111</v>
      </c>
      <c r="B113" s="25" t="inlineStr">
        <is>
          <t>mericle</t>
        </is>
      </c>
      <c r="C113" s="35" t="inlineStr">
        <is>
          <t>B</t>
        </is>
      </c>
      <c r="D113" s="26" t="inlineStr">
        <is>
          <t>直发器</t>
        </is>
      </c>
      <c r="E113" s="26" t="inlineStr">
        <is>
          <t>直发夹板</t>
        </is>
      </c>
      <c r="F113" s="26" t="inlineStr">
        <is>
          <t>Mericle/直发器/紫色/XN-858</t>
        </is>
      </c>
      <c r="G113" s="26" t="inlineStr">
        <is>
          <t>ZFQ-11</t>
        </is>
      </c>
      <c r="H113" s="29" t="n">
        <v>17</v>
      </c>
      <c r="I113" s="25" t="inlineStr">
        <is>
          <t>¥15–19</t>
        </is>
      </c>
      <c r="J113" s="29" t="n">
        <v>14</v>
      </c>
      <c r="K113" s="29" t="n">
        <v>35</v>
      </c>
      <c r="L113" s="37" t="n">
        <v>4</v>
      </c>
      <c r="M113" s="28" t="n">
        <v>6.37</v>
      </c>
      <c r="N113" s="32" t="inlineStr">
        <is>
          <t>常规备选，放在长尾分类；用低价冲量，不单独投流</t>
        </is>
      </c>
    </row>
    <row r="114">
      <c r="A114" s="25" t="n">
        <v>112</v>
      </c>
      <c r="B114" s="25" t="inlineStr">
        <is>
          <t>mericle</t>
        </is>
      </c>
      <c r="C114" s="35" t="inlineStr">
        <is>
          <t>B</t>
        </is>
      </c>
      <c r="D114" s="26" t="inlineStr">
        <is>
          <t>直发器</t>
        </is>
      </c>
      <c r="E114" s="26" t="inlineStr">
        <is>
          <t>美发器</t>
        </is>
      </c>
      <c r="F114" s="26" t="inlineStr">
        <is>
          <t>Mericle/直发器/米色/MFQ-726</t>
        </is>
      </c>
      <c r="G114" s="26" t="inlineStr">
        <is>
          <t>ZFQ-12</t>
        </is>
      </c>
      <c r="H114" s="29" t="n">
        <v>17</v>
      </c>
      <c r="I114" s="25" t="inlineStr">
        <is>
          <t>¥15–19</t>
        </is>
      </c>
      <c r="J114" s="29" t="n">
        <v>14</v>
      </c>
      <c r="K114" s="29" t="n">
        <v>35</v>
      </c>
      <c r="L114" s="37" t="n">
        <v>4</v>
      </c>
      <c r="M114" s="28" t="n">
        <v>6.37</v>
      </c>
      <c r="N114" s="32" t="inlineStr">
        <is>
          <t>常规备选，放在长尾分类；用低价冲量，不单独投流</t>
        </is>
      </c>
    </row>
    <row r="115">
      <c r="A115" s="25" t="n">
        <v>113</v>
      </c>
      <c r="B115" s="25" t="inlineStr">
        <is>
          <t>美悟</t>
        </is>
      </c>
      <c r="C115" s="35" t="inlineStr">
        <is>
          <t>B</t>
        </is>
      </c>
      <c r="D115" s="26" t="inlineStr">
        <is>
          <t>直发器</t>
        </is>
      </c>
      <c r="E115" s="26" t="inlineStr">
        <is>
          <t>直发器</t>
        </is>
      </c>
      <c r="F115" s="26" t="inlineStr">
        <is>
          <t>美悟/男士直发器/XN-H2</t>
        </is>
      </c>
      <c r="G115" s="26" t="inlineStr">
        <is>
          <t>ZFQ-09</t>
        </is>
      </c>
      <c r="H115" s="29" t="n">
        <v>17</v>
      </c>
      <c r="I115" s="25" t="inlineStr">
        <is>
          <t>¥15–19</t>
        </is>
      </c>
      <c r="J115" s="29" t="n">
        <v>14</v>
      </c>
      <c r="K115" s="29" t="n">
        <v>35</v>
      </c>
      <c r="L115" s="37" t="n">
        <v>4</v>
      </c>
      <c r="M115" s="28" t="n">
        <v>6.37</v>
      </c>
      <c r="N115" s="32" t="inlineStr">
        <is>
          <t>常规备选，放在长尾分类；用低价冲量，不单独投流</t>
        </is>
      </c>
    </row>
    <row r="116">
      <c r="A116" s="25" t="n">
        <v>114</v>
      </c>
      <c r="B116" s="25" t="inlineStr">
        <is>
          <t>现代</t>
        </is>
      </c>
      <c r="C116" s="35" t="inlineStr">
        <is>
          <t>B</t>
        </is>
      </c>
      <c r="D116" s="26" t="inlineStr">
        <is>
          <t>直发器</t>
        </is>
      </c>
      <c r="E116" s="26" t="inlineStr">
        <is>
          <t>现代直发器</t>
        </is>
      </c>
      <c r="F116" s="26" t="inlineStr">
        <is>
          <t>现代直发器/渐变粉</t>
        </is>
      </c>
      <c r="G116" s="26" t="inlineStr">
        <is>
          <t>XD/ZFQ-01</t>
        </is>
      </c>
      <c r="H116" s="29" t="n">
        <v>17</v>
      </c>
      <c r="I116" s="25" t="inlineStr">
        <is>
          <t>¥15–19</t>
        </is>
      </c>
      <c r="J116" s="29" t="n">
        <v>14</v>
      </c>
      <c r="K116" s="29" t="n">
        <v>35</v>
      </c>
      <c r="L116" s="37" t="n">
        <v>4</v>
      </c>
      <c r="M116" s="28" t="n">
        <v>6.37</v>
      </c>
      <c r="N116" s="32" t="inlineStr">
        <is>
          <t>常规备选，放在长尾分类；用低价冲量，不单独投流</t>
        </is>
      </c>
    </row>
    <row r="117">
      <c r="A117" s="25" t="n">
        <v>115</v>
      </c>
      <c r="B117" s="25" t="inlineStr">
        <is>
          <t>现代</t>
        </is>
      </c>
      <c r="C117" s="35" t="inlineStr">
        <is>
          <t>B</t>
        </is>
      </c>
      <c r="D117" s="26" t="inlineStr">
        <is>
          <t>直发器</t>
        </is>
      </c>
      <c r="E117" s="26" t="inlineStr">
        <is>
          <t>现代直发器</t>
        </is>
      </c>
      <c r="F117" s="26" t="inlineStr">
        <is>
          <t>现代直发器/渐变绿</t>
        </is>
      </c>
      <c r="G117" s="26" t="inlineStr">
        <is>
          <t>XD/ZFQ-02</t>
        </is>
      </c>
      <c r="H117" s="29" t="n">
        <v>17</v>
      </c>
      <c r="I117" s="25" t="inlineStr">
        <is>
          <t>¥15–19</t>
        </is>
      </c>
      <c r="J117" s="29" t="n">
        <v>14</v>
      </c>
      <c r="K117" s="29" t="n">
        <v>35</v>
      </c>
      <c r="L117" s="37" t="n">
        <v>4</v>
      </c>
      <c r="M117" s="28" t="n">
        <v>6.37</v>
      </c>
      <c r="N117" s="32" t="inlineStr">
        <is>
          <t>常规备选，放在长尾分类；用低价冲量，不单独投流</t>
        </is>
      </c>
    </row>
    <row r="118">
      <c r="A118" s="25" t="n">
        <v>116</v>
      </c>
      <c r="B118" s="25" t="inlineStr">
        <is>
          <t>现代</t>
        </is>
      </c>
      <c r="C118" s="35" t="inlineStr">
        <is>
          <t>B</t>
        </is>
      </c>
      <c r="D118" s="26" t="inlineStr">
        <is>
          <t>直发器</t>
        </is>
      </c>
      <c r="E118" s="26" t="inlineStr">
        <is>
          <t>现代直发器</t>
        </is>
      </c>
      <c r="F118" s="26" t="inlineStr">
        <is>
          <t>现代直发器/渐变紫</t>
        </is>
      </c>
      <c r="G118" s="26" t="inlineStr">
        <is>
          <t>XD/ZFQ-03</t>
        </is>
      </c>
      <c r="H118" s="29" t="n">
        <v>17</v>
      </c>
      <c r="I118" s="25" t="inlineStr">
        <is>
          <t>¥15–19</t>
        </is>
      </c>
      <c r="J118" s="29" t="n">
        <v>14</v>
      </c>
      <c r="K118" s="29" t="n">
        <v>35</v>
      </c>
      <c r="L118" s="37" t="n">
        <v>4</v>
      </c>
      <c r="M118" s="28" t="n">
        <v>6.37</v>
      </c>
      <c r="N118" s="32" t="inlineStr">
        <is>
          <t>常规备选，放在长尾分类；用低价冲量，不单独投流</t>
        </is>
      </c>
    </row>
    <row r="119">
      <c r="A119" s="25" t="n">
        <v>117</v>
      </c>
      <c r="B119" s="25" t="inlineStr">
        <is>
          <t>现代</t>
        </is>
      </c>
      <c r="C119" s="35" t="inlineStr">
        <is>
          <t>B</t>
        </is>
      </c>
      <c r="D119" s="26" t="inlineStr">
        <is>
          <t>直发器</t>
        </is>
      </c>
      <c r="E119" s="26" t="inlineStr">
        <is>
          <t>现代直发器</t>
        </is>
      </c>
      <c r="F119" s="26" t="inlineStr">
        <is>
          <t>现代直发器/经典黑</t>
        </is>
      </c>
      <c r="G119" s="26" t="inlineStr">
        <is>
          <t>XD/ZFQ-04</t>
        </is>
      </c>
      <c r="H119" s="29" t="n">
        <v>17</v>
      </c>
      <c r="I119" s="25" t="inlineStr">
        <is>
          <t>¥15–19</t>
        </is>
      </c>
      <c r="J119" s="29" t="n">
        <v>14</v>
      </c>
      <c r="K119" s="29" t="n">
        <v>35</v>
      </c>
      <c r="L119" s="37" t="n">
        <v>4</v>
      </c>
      <c r="M119" s="28" t="n">
        <v>6.37</v>
      </c>
      <c r="N119" s="32" t="inlineStr">
        <is>
          <t>常规备选，放在长尾分类；用低价冲量，不单独投流</t>
        </is>
      </c>
    </row>
    <row r="120">
      <c r="A120" s="25" t="n">
        <v>118</v>
      </c>
      <c r="B120" s="25" t="inlineStr">
        <is>
          <t>夏新</t>
        </is>
      </c>
      <c r="C120" s="35" t="inlineStr">
        <is>
          <t>B</t>
        </is>
      </c>
      <c r="D120" s="26" t="inlineStr">
        <is>
          <t>咖啡豆研磨机</t>
        </is>
      </c>
      <c r="E120" s="26" t="inlineStr">
        <is>
          <t>咖啡豆研磨机</t>
        </is>
      </c>
      <c r="F120" s="26" t="inlineStr">
        <is>
          <t>夏新/咖啡豆研磨机/JYKF-001</t>
        </is>
      </c>
      <c r="G120" s="26" t="inlineStr">
        <is>
          <t>YMJ-06</t>
        </is>
      </c>
      <c r="H120" s="29" t="n">
        <v>18</v>
      </c>
      <c r="I120" s="25" t="inlineStr">
        <is>
          <t>¥14–23</t>
        </is>
      </c>
      <c r="J120" s="29" t="n">
        <v>13</v>
      </c>
      <c r="K120" s="29" t="n">
        <v>39</v>
      </c>
      <c r="L120" s="37" t="n">
        <v>16.5</v>
      </c>
      <c r="M120" s="28" t="n">
        <v>6.37</v>
      </c>
      <c r="N120" s="32" t="inlineStr">
        <is>
          <t>常规备选，放在长尾分类；用低价冲量，不单独投流</t>
        </is>
      </c>
    </row>
    <row r="121">
      <c r="A121" s="25" t="n">
        <v>119</v>
      </c>
      <c r="B121" s="25" t="inlineStr">
        <is>
          <t>mericle</t>
        </is>
      </c>
      <c r="C121" s="35" t="inlineStr">
        <is>
          <t>B</t>
        </is>
      </c>
      <c r="D121" s="26" t="inlineStr">
        <is>
          <t>美容仪</t>
        </is>
      </c>
      <c r="E121" s="26" t="inlineStr">
        <is>
          <t>美眼仪</t>
        </is>
      </c>
      <c r="F121" s="26" t="inlineStr">
        <is>
          <t>Mericle/美眼仪/紫色/2217</t>
        </is>
      </c>
      <c r="G121" s="26" t="inlineStr">
        <is>
          <t>Mericle-MYY-01</t>
        </is>
      </c>
      <c r="H121" s="29" t="n">
        <v>289</v>
      </c>
      <c r="I121" s="25" t="inlineStr">
        <is>
          <t>¥280–298</t>
        </is>
      </c>
      <c r="J121" s="29" t="n">
        <v>266</v>
      </c>
      <c r="K121" s="29" t="n">
        <v>346</v>
      </c>
      <c r="L121" s="37" t="n">
        <v>26.5</v>
      </c>
      <c r="M121" s="28" t="n">
        <v>6.36</v>
      </c>
      <c r="N121" s="32" t="inlineStr">
        <is>
          <t>常规备选，放在长尾分类；用低价冲量，不单独投流</t>
        </is>
      </c>
    </row>
    <row r="122">
      <c r="A122" s="25" t="n">
        <v>120</v>
      </c>
      <c r="B122" s="25" t="inlineStr">
        <is>
          <t>mericle</t>
        </is>
      </c>
      <c r="C122" s="35" t="inlineStr">
        <is>
          <t>B</t>
        </is>
      </c>
      <c r="D122" s="26" t="inlineStr">
        <is>
          <t>美容仪</t>
        </is>
      </c>
      <c r="E122" s="26" t="inlineStr">
        <is>
          <t>美眼仪</t>
        </is>
      </c>
      <c r="F122" s="26" t="inlineStr">
        <is>
          <t>Mericle/美眼仪/绿色/2217</t>
        </is>
      </c>
      <c r="G122" s="26" t="inlineStr">
        <is>
          <t>Mericle-MYY-02</t>
        </is>
      </c>
      <c r="H122" s="29" t="n">
        <v>289</v>
      </c>
      <c r="I122" s="25" t="inlineStr">
        <is>
          <t>¥280–298</t>
        </is>
      </c>
      <c r="J122" s="29" t="n">
        <v>266</v>
      </c>
      <c r="K122" s="29" t="n">
        <v>346</v>
      </c>
      <c r="L122" s="37" t="n">
        <v>26.5</v>
      </c>
      <c r="M122" s="28" t="n">
        <v>6.36</v>
      </c>
      <c r="N122" s="32" t="inlineStr">
        <is>
          <t>常规备选，放在长尾分类；用低价冲量，不单独投流</t>
        </is>
      </c>
    </row>
    <row r="123">
      <c r="A123" s="25" t="n">
        <v>121</v>
      </c>
      <c r="B123" s="25" t="inlineStr">
        <is>
          <t>mericle</t>
        </is>
      </c>
      <c r="C123" s="35" t="inlineStr">
        <is>
          <t>B</t>
        </is>
      </c>
      <c r="D123" s="26" t="inlineStr">
        <is>
          <t>美容仪</t>
        </is>
      </c>
      <c r="E123" s="26" t="inlineStr">
        <is>
          <t>Mericle/V脸美容仪/MLK-803</t>
        </is>
      </c>
      <c r="F123" s="26" t="inlineStr">
        <is>
          <t>Mericle/V脸美容仪/MLK-803</t>
        </is>
      </c>
      <c r="G123" s="26" t="inlineStr">
        <is>
          <t>MRY-02</t>
        </is>
      </c>
      <c r="H123" s="29" t="n">
        <v>289</v>
      </c>
      <c r="I123" s="25" t="inlineStr">
        <is>
          <t>¥280–298</t>
        </is>
      </c>
      <c r="J123" s="29" t="n">
        <v>266</v>
      </c>
      <c r="K123" s="29" t="n">
        <v>346</v>
      </c>
      <c r="L123" s="37" t="n">
        <v>26.5</v>
      </c>
      <c r="M123" s="28" t="n">
        <v>6.36</v>
      </c>
      <c r="N123" s="32" t="inlineStr">
        <is>
          <t>常规备选，放在长尾分类；用低价冲量，不单独投流</t>
        </is>
      </c>
    </row>
    <row r="124">
      <c r="A124" s="25" t="n">
        <v>122</v>
      </c>
      <c r="B124" s="25" t="inlineStr">
        <is>
          <t>mericle</t>
        </is>
      </c>
      <c r="C124" s="35" t="inlineStr">
        <is>
          <t>B</t>
        </is>
      </c>
      <c r="D124" s="26" t="inlineStr">
        <is>
          <t>美容仪</t>
        </is>
      </c>
      <c r="E124" s="26" t="inlineStr">
        <is>
          <t>377次抛精华液</t>
        </is>
      </c>
      <c r="F124" s="26" t="inlineStr">
        <is>
          <t>377次抛精华液</t>
        </is>
      </c>
      <c r="G124" s="26" t="inlineStr">
        <is>
          <t>JH-01</t>
        </is>
      </c>
      <c r="H124" s="29" t="n">
        <v>289</v>
      </c>
      <c r="I124" s="25" t="inlineStr">
        <is>
          <t>¥280–298</t>
        </is>
      </c>
      <c r="J124" s="29" t="n">
        <v>266</v>
      </c>
      <c r="K124" s="29" t="n">
        <v>346</v>
      </c>
      <c r="L124" s="37" t="n">
        <v>26.5</v>
      </c>
      <c r="M124" s="28" t="n">
        <v>6.36</v>
      </c>
      <c r="N124" s="32" t="inlineStr">
        <is>
          <t>常规备选，放在长尾分类；用低价冲量，不单独投流</t>
        </is>
      </c>
    </row>
    <row r="125">
      <c r="A125" s="25" t="n">
        <v>123</v>
      </c>
      <c r="B125" s="25" t="inlineStr">
        <is>
          <t>mericle</t>
        </is>
      </c>
      <c r="C125" s="35" t="inlineStr">
        <is>
          <t>B</t>
        </is>
      </c>
      <c r="D125" s="26" t="inlineStr">
        <is>
          <t>美容仪</t>
        </is>
      </c>
      <c r="E125" s="26" t="inlineStr">
        <is>
          <t>美容仪</t>
        </is>
      </c>
      <c r="F125" s="26" t="inlineStr">
        <is>
          <t>Mericle/V脸美容仪/SLY-002</t>
        </is>
      </c>
      <c r="G125" s="26" t="inlineStr">
        <is>
          <t>MRY-03</t>
        </is>
      </c>
      <c r="H125" s="29" t="n">
        <v>289</v>
      </c>
      <c r="I125" s="25" t="inlineStr">
        <is>
          <t>¥280–298</t>
        </is>
      </c>
      <c r="J125" s="29" t="n">
        <v>266</v>
      </c>
      <c r="K125" s="29" t="n">
        <v>346</v>
      </c>
      <c r="L125" s="37" t="n">
        <v>26.5</v>
      </c>
      <c r="M125" s="28" t="n">
        <v>6.36</v>
      </c>
      <c r="N125" s="32" t="inlineStr">
        <is>
          <t>常规备选，放在长尾分类；用低价冲量，不单独投流</t>
        </is>
      </c>
    </row>
    <row r="126">
      <c r="A126" s="25" t="n">
        <v>124</v>
      </c>
      <c r="B126" s="25" t="inlineStr">
        <is>
          <t>mericle</t>
        </is>
      </c>
      <c r="C126" s="35" t="inlineStr">
        <is>
          <t>B</t>
        </is>
      </c>
      <c r="D126" s="26" t="inlineStr">
        <is>
          <t>美容仪</t>
        </is>
      </c>
      <c r="E126" s="26" t="inlineStr">
        <is>
          <t>润眼仪</t>
        </is>
      </c>
      <c r="F126" s="26" t="inlineStr">
        <is>
          <t>Mericle/润眼仪/RY-2686/米白色</t>
        </is>
      </c>
      <c r="G126" s="26" t="inlineStr">
        <is>
          <t>RYY-01</t>
        </is>
      </c>
      <c r="H126" s="29" t="n">
        <v>289</v>
      </c>
      <c r="I126" s="25" t="inlineStr">
        <is>
          <t>¥280–298</t>
        </is>
      </c>
      <c r="J126" s="29" t="n">
        <v>266</v>
      </c>
      <c r="K126" s="29" t="n">
        <v>346</v>
      </c>
      <c r="L126" s="37" t="n">
        <v>26.5</v>
      </c>
      <c r="M126" s="28" t="n">
        <v>6.36</v>
      </c>
      <c r="N126" s="32" t="inlineStr">
        <is>
          <t>常规备选，放在长尾分类；用低价冲量，不单独投流</t>
        </is>
      </c>
    </row>
    <row r="127">
      <c r="A127" s="25" t="n">
        <v>125</v>
      </c>
      <c r="B127" s="25" t="inlineStr">
        <is>
          <t>mericle</t>
        </is>
      </c>
      <c r="C127" s="35" t="inlineStr">
        <is>
          <t>B</t>
        </is>
      </c>
      <c r="D127" s="26" t="inlineStr">
        <is>
          <t>美容仪</t>
        </is>
      </c>
      <c r="E127" s="26" t="inlineStr">
        <is>
          <t>润眼仪</t>
        </is>
      </c>
      <c r="F127" s="26" t="inlineStr">
        <is>
          <t>Mericle/润眼仪/RY-2686/紫色</t>
        </is>
      </c>
      <c r="G127" s="26" t="inlineStr">
        <is>
          <t>RYY-02</t>
        </is>
      </c>
      <c r="H127" s="29" t="n">
        <v>289</v>
      </c>
      <c r="I127" s="25" t="inlineStr">
        <is>
          <t>¥280–298</t>
        </is>
      </c>
      <c r="J127" s="29" t="n">
        <v>266</v>
      </c>
      <c r="K127" s="29" t="n">
        <v>346</v>
      </c>
      <c r="L127" s="37" t="n">
        <v>26.5</v>
      </c>
      <c r="M127" s="28" t="n">
        <v>6.36</v>
      </c>
      <c r="N127" s="32" t="inlineStr">
        <is>
          <t>常规备选，放在长尾分类；用低价冲量，不单独投流</t>
        </is>
      </c>
    </row>
    <row r="128">
      <c r="A128" s="25" t="n">
        <v>126</v>
      </c>
      <c r="B128" s="25" t="inlineStr">
        <is>
          <t>mericle</t>
        </is>
      </c>
      <c r="C128" s="35" t="inlineStr">
        <is>
          <t>B</t>
        </is>
      </c>
      <c r="D128" s="26" t="inlineStr">
        <is>
          <t>吹风机</t>
        </is>
      </c>
      <c r="E128" s="26" t="inlineStr">
        <is>
          <t>吹风机</t>
        </is>
      </c>
      <c r="F128" s="26" t="inlineStr">
        <is>
          <t>Mericle/吹风机</t>
        </is>
      </c>
      <c r="G128" s="26" t="inlineStr">
        <is>
          <t>Mericle-CFJ-01</t>
        </is>
      </c>
      <c r="H128" s="29" t="n">
        <v>26</v>
      </c>
      <c r="I128" s="25" t="inlineStr">
        <is>
          <t>¥15–37</t>
        </is>
      </c>
      <c r="J128" s="29" t="n">
        <v>14</v>
      </c>
      <c r="K128" s="29" t="n">
        <v>43</v>
      </c>
      <c r="L128" s="37" t="n">
        <v>48</v>
      </c>
      <c r="M128" s="28" t="n">
        <v>6.34</v>
      </c>
      <c r="N128" s="32" t="inlineStr">
        <is>
          <t>常规备选，放在长尾分类；用低价冲量，不单独投流</t>
        </is>
      </c>
    </row>
    <row r="129">
      <c r="A129" s="25" t="n">
        <v>127</v>
      </c>
      <c r="B129" s="25" t="inlineStr">
        <is>
          <t>mericle</t>
        </is>
      </c>
      <c r="C129" s="35" t="inlineStr">
        <is>
          <t>B</t>
        </is>
      </c>
      <c r="D129" s="26" t="inlineStr">
        <is>
          <t>吹风机</t>
        </is>
      </c>
      <c r="E129" s="26" t="inlineStr">
        <is>
          <t>电吹风</t>
        </is>
      </c>
      <c r="F129" s="26" t="inlineStr">
        <is>
          <t>Mericle/二代吹风机/白色</t>
        </is>
      </c>
      <c r="G129" s="26" t="inlineStr">
        <is>
          <t>Mericle-CFJ-02</t>
        </is>
      </c>
      <c r="H129" s="29" t="n">
        <v>26</v>
      </c>
      <c r="I129" s="25" t="inlineStr">
        <is>
          <t>¥15–37</t>
        </is>
      </c>
      <c r="J129" s="29" t="n">
        <v>14</v>
      </c>
      <c r="K129" s="29" t="n">
        <v>43</v>
      </c>
      <c r="L129" s="37" t="n">
        <v>48</v>
      </c>
      <c r="M129" s="28" t="n">
        <v>6.34</v>
      </c>
      <c r="N129" s="32" t="inlineStr">
        <is>
          <t>常规备选，放在长尾分类；用低价冲量，不单独投流</t>
        </is>
      </c>
    </row>
    <row r="130">
      <c r="A130" s="25" t="n">
        <v>128</v>
      </c>
      <c r="B130" s="25" t="inlineStr">
        <is>
          <t>mericle</t>
        </is>
      </c>
      <c r="C130" s="35" t="inlineStr">
        <is>
          <t>B</t>
        </is>
      </c>
      <c r="D130" s="26" t="inlineStr">
        <is>
          <t>吹风机</t>
        </is>
      </c>
      <c r="E130" s="26" t="inlineStr">
        <is>
          <t>吹风机</t>
        </is>
      </c>
      <c r="F130" s="26" t="inlineStr">
        <is>
          <t>Mericle/婴儿吹风机/CFJ-01</t>
        </is>
      </c>
      <c r="G130" s="26" t="inlineStr">
        <is>
          <t>Mericle-CFJ-03</t>
        </is>
      </c>
      <c r="H130" s="29" t="n">
        <v>26</v>
      </c>
      <c r="I130" s="25" t="inlineStr">
        <is>
          <t>¥15–37</t>
        </is>
      </c>
      <c r="J130" s="29" t="n">
        <v>14</v>
      </c>
      <c r="K130" s="29" t="n">
        <v>43</v>
      </c>
      <c r="L130" s="37" t="n">
        <v>48</v>
      </c>
      <c r="M130" s="28" t="n">
        <v>6.34</v>
      </c>
      <c r="N130" s="32" t="inlineStr">
        <is>
          <t>常规备选，放在长尾分类；用低价冲量，不单独投流</t>
        </is>
      </c>
    </row>
    <row r="131">
      <c r="A131" s="25" t="n">
        <v>129</v>
      </c>
      <c r="B131" s="25" t="inlineStr">
        <is>
          <t>mericle</t>
        </is>
      </c>
      <c r="C131" s="35" t="inlineStr">
        <is>
          <t>B</t>
        </is>
      </c>
      <c r="D131" s="26" t="inlineStr">
        <is>
          <t>冲牙器</t>
        </is>
      </c>
      <c r="E131" s="26" t="inlineStr">
        <is>
          <t>便携式冲牙器</t>
        </is>
      </c>
      <c r="F131" s="26" t="inlineStr">
        <is>
          <t>Mericle/冲牙器/黑色</t>
        </is>
      </c>
      <c r="G131" s="26" t="inlineStr">
        <is>
          <t>M-CYQ-01</t>
        </is>
      </c>
      <c r="H131" s="29" t="n">
        <v>20</v>
      </c>
      <c r="I131" s="25" t="inlineStr">
        <is>
          <t>¥20–20</t>
        </is>
      </c>
      <c r="J131" s="29" t="n">
        <v>19</v>
      </c>
      <c r="K131" s="29" t="n">
        <v>41</v>
      </c>
      <c r="L131" s="37" t="n">
        <v>3.5</v>
      </c>
      <c r="M131" s="28" t="n">
        <v>6.31</v>
      </c>
      <c r="N131" s="32" t="inlineStr">
        <is>
          <t>常规备选，放在长尾分类；用低价冲量，不单独投流</t>
        </is>
      </c>
    </row>
    <row r="132">
      <c r="A132" s="25" t="n">
        <v>130</v>
      </c>
      <c r="B132" s="25" t="inlineStr">
        <is>
          <t>mericle</t>
        </is>
      </c>
      <c r="C132" s="35" t="inlineStr">
        <is>
          <t>B</t>
        </is>
      </c>
      <c r="D132" s="26" t="inlineStr">
        <is>
          <t>冲牙器</t>
        </is>
      </c>
      <c r="E132" s="26" t="inlineStr">
        <is>
          <t>便携式电动冲牙器</t>
        </is>
      </c>
      <c r="F132" s="26" t="inlineStr">
        <is>
          <t>Mericle/便携式冲牙器/粉色</t>
        </is>
      </c>
      <c r="G132" s="26" t="inlineStr">
        <is>
          <t>M-CYQ-02</t>
        </is>
      </c>
      <c r="H132" s="29" t="n">
        <v>20</v>
      </c>
      <c r="I132" s="25" t="inlineStr">
        <is>
          <t>¥20–20</t>
        </is>
      </c>
      <c r="J132" s="29" t="n">
        <v>19</v>
      </c>
      <c r="K132" s="29" t="n">
        <v>41</v>
      </c>
      <c r="L132" s="37" t="n">
        <v>3.5</v>
      </c>
      <c r="M132" s="28" t="n">
        <v>6.31</v>
      </c>
      <c r="N132" s="32" t="inlineStr">
        <is>
          <t>常规备选，放在长尾分类；用低价冲量，不单独投流</t>
        </is>
      </c>
    </row>
    <row r="133">
      <c r="A133" s="25" t="n">
        <v>131</v>
      </c>
      <c r="B133" s="25" t="inlineStr">
        <is>
          <t>mericle</t>
        </is>
      </c>
      <c r="C133" s="35" t="inlineStr">
        <is>
          <t>B</t>
        </is>
      </c>
      <c r="D133" s="26" t="inlineStr">
        <is>
          <t>冲牙器</t>
        </is>
      </c>
      <c r="E133" s="26" t="inlineStr">
        <is>
          <t>便携式电动冲牙器</t>
        </is>
      </c>
      <c r="F133" s="26" t="inlineStr">
        <is>
          <t>Mericle/便携式冲牙器/绿色</t>
        </is>
      </c>
      <c r="G133" s="26" t="inlineStr">
        <is>
          <t>M-CYQ-03</t>
        </is>
      </c>
      <c r="H133" s="29" t="n">
        <v>20</v>
      </c>
      <c r="I133" s="25" t="inlineStr">
        <is>
          <t>¥20–20</t>
        </is>
      </c>
      <c r="J133" s="29" t="n">
        <v>19</v>
      </c>
      <c r="K133" s="29" t="n">
        <v>41</v>
      </c>
      <c r="L133" s="37" t="n">
        <v>3.5</v>
      </c>
      <c r="M133" s="28" t="n">
        <v>6.31</v>
      </c>
      <c r="N133" s="32" t="inlineStr">
        <is>
          <t>常规备选，放在长尾分类；用低价冲量，不单独投流</t>
        </is>
      </c>
    </row>
    <row r="134">
      <c r="A134" s="25" t="n">
        <v>132</v>
      </c>
      <c r="B134" s="25" t="inlineStr">
        <is>
          <t>mericle</t>
        </is>
      </c>
      <c r="C134" s="35" t="inlineStr">
        <is>
          <t>B</t>
        </is>
      </c>
      <c r="D134" s="26" t="inlineStr">
        <is>
          <t>电动磨脚器</t>
        </is>
      </c>
      <c r="E134" s="26" t="inlineStr">
        <is>
          <t>Mericle修足器</t>
        </is>
      </c>
      <c r="F134" s="26" t="inlineStr">
        <is>
          <t>Mericle/修足器三代/白色</t>
        </is>
      </c>
      <c r="G134" s="26" t="inlineStr">
        <is>
          <t>XZQ-11</t>
        </is>
      </c>
      <c r="H134" s="29" t="n">
        <v>18</v>
      </c>
      <c r="I134" s="25" t="inlineStr">
        <is>
          <t>¥12–24</t>
        </is>
      </c>
      <c r="J134" s="29" t="n">
        <v>11</v>
      </c>
      <c r="K134" s="29" t="n">
        <v>29</v>
      </c>
      <c r="L134" s="37" t="n">
        <v>9.5</v>
      </c>
      <c r="M134" s="28" t="n">
        <v>6.31</v>
      </c>
      <c r="N134" s="32" t="inlineStr">
        <is>
          <t>常规备选，放在长尾分类；用低价冲量，不单独投流</t>
        </is>
      </c>
    </row>
    <row r="135">
      <c r="A135" s="25" t="n">
        <v>133</v>
      </c>
      <c r="B135" s="25" t="inlineStr">
        <is>
          <t>mericle</t>
        </is>
      </c>
      <c r="C135" s="35" t="inlineStr">
        <is>
          <t>B</t>
        </is>
      </c>
      <c r="D135" s="26" t="inlineStr">
        <is>
          <t>电动磨脚器</t>
        </is>
      </c>
      <c r="E135" s="26" t="inlineStr">
        <is>
          <t>二合一电动亮甲指甲刀</t>
        </is>
      </c>
      <c r="F135" s="26" t="inlineStr">
        <is>
          <t>Mericle/磨甲刀/白色</t>
        </is>
      </c>
      <c r="G135" s="26" t="inlineStr">
        <is>
          <t>Mericle-MJD-B</t>
        </is>
      </c>
      <c r="H135" s="29" t="n">
        <v>18</v>
      </c>
      <c r="I135" s="25" t="inlineStr">
        <is>
          <t>¥12–24</t>
        </is>
      </c>
      <c r="J135" s="29" t="n">
        <v>11</v>
      </c>
      <c r="K135" s="29" t="n">
        <v>29</v>
      </c>
      <c r="L135" s="37" t="n">
        <v>9.5</v>
      </c>
      <c r="M135" s="28" t="n">
        <v>6.31</v>
      </c>
      <c r="N135" s="32" t="inlineStr">
        <is>
          <t>常规备选，放在长尾分类；用低价冲量，不单独投流</t>
        </is>
      </c>
    </row>
    <row r="136">
      <c r="A136" s="25" t="n">
        <v>134</v>
      </c>
      <c r="B136" s="25" t="inlineStr">
        <is>
          <t>mericle</t>
        </is>
      </c>
      <c r="C136" s="35" t="inlineStr">
        <is>
          <t>B</t>
        </is>
      </c>
      <c r="D136" s="26" t="inlineStr">
        <is>
          <t>电动磨脚器</t>
        </is>
      </c>
      <c r="E136" s="26" t="inlineStr">
        <is>
          <t>二合一电动亮甲指甲刀</t>
        </is>
      </c>
      <c r="F136" s="26" t="inlineStr">
        <is>
          <t>Mericle/磨甲刀/蓝色</t>
        </is>
      </c>
      <c r="G136" s="26" t="inlineStr">
        <is>
          <t>Mericle-MJD-L</t>
        </is>
      </c>
      <c r="H136" s="29" t="n">
        <v>18</v>
      </c>
      <c r="I136" s="25" t="inlineStr">
        <is>
          <t>¥12–24</t>
        </is>
      </c>
      <c r="J136" s="29" t="n">
        <v>11</v>
      </c>
      <c r="K136" s="29" t="n">
        <v>29</v>
      </c>
      <c r="L136" s="37" t="n">
        <v>9.5</v>
      </c>
      <c r="M136" s="28" t="n">
        <v>6.31</v>
      </c>
      <c r="N136" s="32" t="inlineStr">
        <is>
          <t>常规备选，放在长尾分类；用低价冲量，不单独投流</t>
        </is>
      </c>
    </row>
    <row r="137">
      <c r="A137" s="25" t="n">
        <v>135</v>
      </c>
      <c r="B137" s="25" t="inlineStr">
        <is>
          <t>mericle</t>
        </is>
      </c>
      <c r="C137" s="35" t="inlineStr">
        <is>
          <t>B</t>
        </is>
      </c>
      <c r="D137" s="26" t="inlineStr">
        <is>
          <t>冲牙器</t>
        </is>
      </c>
      <c r="E137" s="26" t="inlineStr">
        <is>
          <t>智能便携冲牙器</t>
        </is>
      </c>
      <c r="F137" s="26" t="inlineStr">
        <is>
          <t>Mericle/便携式冲牙器/白色</t>
        </is>
      </c>
      <c r="G137" s="26" t="inlineStr">
        <is>
          <t>M-CYQ-04</t>
        </is>
      </c>
      <c r="H137" s="29" t="n">
        <v>20</v>
      </c>
      <c r="I137" s="25" t="inlineStr">
        <is>
          <t>¥20–20</t>
        </is>
      </c>
      <c r="J137" s="29" t="n">
        <v>19</v>
      </c>
      <c r="K137" s="29" t="n">
        <v>41</v>
      </c>
      <c r="L137" s="37" t="n">
        <v>3.5</v>
      </c>
      <c r="M137" s="28" t="n">
        <v>6.31</v>
      </c>
      <c r="N137" s="32" t="inlineStr">
        <is>
          <t>常规备选，放在长尾分类；用低价冲量，不单独投流</t>
        </is>
      </c>
    </row>
    <row r="138">
      <c r="A138" s="25" t="n">
        <v>136</v>
      </c>
      <c r="B138" s="25" t="inlineStr">
        <is>
          <t>mericle</t>
        </is>
      </c>
      <c r="C138" s="35" t="inlineStr">
        <is>
          <t>B</t>
        </is>
      </c>
      <c r="D138" s="26" t="inlineStr">
        <is>
          <t>冲牙器</t>
        </is>
      </c>
      <c r="E138" s="26" t="inlineStr">
        <is>
          <t>智能便携冲牙器</t>
        </is>
      </c>
      <c r="F138" s="26" t="inlineStr">
        <is>
          <t>Mericle/便携式冲牙器/橙色</t>
        </is>
      </c>
      <c r="G138" s="26" t="inlineStr">
        <is>
          <t>M-CYQ-05</t>
        </is>
      </c>
      <c r="H138" s="29" t="n">
        <v>20</v>
      </c>
      <c r="I138" s="25" t="inlineStr">
        <is>
          <t>¥20–20</t>
        </is>
      </c>
      <c r="J138" s="29" t="n">
        <v>19</v>
      </c>
      <c r="K138" s="29" t="n">
        <v>41</v>
      </c>
      <c r="L138" s="37" t="n">
        <v>3.5</v>
      </c>
      <c r="M138" s="28" t="n">
        <v>6.31</v>
      </c>
      <c r="N138" s="32" t="inlineStr">
        <is>
          <t>常规备选，放在长尾分类；用低价冲量，不单独投流</t>
        </is>
      </c>
    </row>
    <row r="139">
      <c r="A139" s="25" t="n">
        <v>137</v>
      </c>
      <c r="B139" s="25" t="inlineStr">
        <is>
          <t>mericle</t>
        </is>
      </c>
      <c r="C139" s="35" t="inlineStr">
        <is>
          <t>B</t>
        </is>
      </c>
      <c r="D139" s="26" t="inlineStr">
        <is>
          <t>冲牙器</t>
        </is>
      </c>
      <c r="E139" s="26" t="inlineStr">
        <is>
          <t>智能便携冲牙器</t>
        </is>
      </c>
      <c r="F139" s="26" t="inlineStr">
        <is>
          <t>Mericle/便携式冲牙器/绿色</t>
        </is>
      </c>
      <c r="G139" s="26" t="inlineStr">
        <is>
          <t>M-CYQ-03</t>
        </is>
      </c>
      <c r="H139" s="29" t="n">
        <v>20</v>
      </c>
      <c r="I139" s="25" t="inlineStr">
        <is>
          <t>¥20–20</t>
        </is>
      </c>
      <c r="J139" s="29" t="n">
        <v>19</v>
      </c>
      <c r="K139" s="29" t="n">
        <v>41</v>
      </c>
      <c r="L139" s="37" t="n">
        <v>3.5</v>
      </c>
      <c r="M139" s="28" t="n">
        <v>6.31</v>
      </c>
      <c r="N139" s="32" t="inlineStr">
        <is>
          <t>常规备选，放在长尾分类；用低价冲量，不单独投流</t>
        </is>
      </c>
    </row>
    <row r="140">
      <c r="A140" s="25" t="n">
        <v>138</v>
      </c>
      <c r="B140" s="25" t="inlineStr">
        <is>
          <t>mericle</t>
        </is>
      </c>
      <c r="C140" s="35" t="inlineStr">
        <is>
          <t>B</t>
        </is>
      </c>
      <c r="D140" s="26" t="inlineStr">
        <is>
          <t>电动磨脚器</t>
        </is>
      </c>
      <c r="E140" s="26" t="inlineStr">
        <is>
          <t>电动磨脚器</t>
        </is>
      </c>
      <c r="F140" s="26" t="inlineStr">
        <is>
          <t>Mericle/修足器/橙色/YM-138</t>
        </is>
      </c>
      <c r="G140" s="26" t="inlineStr">
        <is>
          <t>XZQ-18</t>
        </is>
      </c>
      <c r="H140" s="29" t="n">
        <v>18</v>
      </c>
      <c r="I140" s="25" t="inlineStr">
        <is>
          <t>¥12–24</t>
        </is>
      </c>
      <c r="J140" s="29" t="n">
        <v>11</v>
      </c>
      <c r="K140" s="29" t="n">
        <v>29</v>
      </c>
      <c r="L140" s="37" t="n">
        <v>9.5</v>
      </c>
      <c r="M140" s="28" t="n">
        <v>6.31</v>
      </c>
      <c r="N140" s="32" t="inlineStr">
        <is>
          <t>常规备选，放在长尾分类；用低价冲量，不单独投流</t>
        </is>
      </c>
    </row>
    <row r="141">
      <c r="A141" s="25" t="n">
        <v>139</v>
      </c>
      <c r="B141" s="25" t="inlineStr">
        <is>
          <t>mericle</t>
        </is>
      </c>
      <c r="C141" s="35" t="inlineStr">
        <is>
          <t>B</t>
        </is>
      </c>
      <c r="D141" s="26" t="inlineStr">
        <is>
          <t>电动磨脚器</t>
        </is>
      </c>
      <c r="E141" s="26" t="inlineStr">
        <is>
          <t>电动磨脚器</t>
        </is>
      </c>
      <c r="F141" s="26" t="inlineStr">
        <is>
          <t>Mericle/修足器/灰色/YM-138</t>
        </is>
      </c>
      <c r="G141" s="26" t="inlineStr">
        <is>
          <t>XZQ-19</t>
        </is>
      </c>
      <c r="H141" s="29" t="n">
        <v>18</v>
      </c>
      <c r="I141" s="25" t="inlineStr">
        <is>
          <t>¥12–24</t>
        </is>
      </c>
      <c r="J141" s="29" t="n">
        <v>11</v>
      </c>
      <c r="K141" s="29" t="n">
        <v>29</v>
      </c>
      <c r="L141" s="37" t="n">
        <v>9.5</v>
      </c>
      <c r="M141" s="28" t="n">
        <v>6.31</v>
      </c>
      <c r="N141" s="32" t="inlineStr">
        <is>
          <t>常规备选，放在长尾分类；用低价冲量，不单独投流</t>
        </is>
      </c>
    </row>
    <row r="142">
      <c r="A142" s="25" t="n">
        <v>140</v>
      </c>
      <c r="B142" s="25" t="inlineStr">
        <is>
          <t>mericle</t>
        </is>
      </c>
      <c r="C142" s="35" t="inlineStr">
        <is>
          <t>B</t>
        </is>
      </c>
      <c r="D142" s="26" t="inlineStr">
        <is>
          <t>电动磨脚器</t>
        </is>
      </c>
      <c r="E142" s="26" t="inlineStr">
        <is>
          <t>多功能电动磨甲器</t>
        </is>
      </c>
      <c r="F142" s="26" t="inlineStr">
        <is>
          <t>Mericle/磨甲器白色/ MLK-501</t>
        </is>
      </c>
      <c r="G142" s="26" t="inlineStr">
        <is>
          <t>Mericle-MJQ-01</t>
        </is>
      </c>
      <c r="H142" s="29" t="n">
        <v>18</v>
      </c>
      <c r="I142" s="25" t="inlineStr">
        <is>
          <t>¥12–24</t>
        </is>
      </c>
      <c r="J142" s="29" t="n">
        <v>11</v>
      </c>
      <c r="K142" s="29" t="n">
        <v>29</v>
      </c>
      <c r="L142" s="37" t="n">
        <v>9.5</v>
      </c>
      <c r="M142" s="28" t="n">
        <v>6.31</v>
      </c>
      <c r="N142" s="32" t="inlineStr">
        <is>
          <t>常规备选，放在长尾分类；用低价冲量，不单独投流</t>
        </is>
      </c>
    </row>
    <row r="143">
      <c r="A143" s="25" t="n">
        <v>141</v>
      </c>
      <c r="B143" s="25" t="inlineStr">
        <is>
          <t>mericle</t>
        </is>
      </c>
      <c r="C143" s="35" t="inlineStr">
        <is>
          <t>B</t>
        </is>
      </c>
      <c r="D143" s="26" t="inlineStr">
        <is>
          <t>电动磨脚器</t>
        </is>
      </c>
      <c r="E143" s="26" t="inlineStr">
        <is>
          <t>多功能电动磨甲器</t>
        </is>
      </c>
      <c r="F143" s="26" t="inlineStr">
        <is>
          <t>Mericle/磨甲器橙色/ MLK-501</t>
        </is>
      </c>
      <c r="G143" s="26" t="inlineStr">
        <is>
          <t>Mericle-MJQ-02</t>
        </is>
      </c>
      <c r="H143" s="29" t="n">
        <v>18</v>
      </c>
      <c r="I143" s="25" t="inlineStr">
        <is>
          <t>¥12–24</t>
        </is>
      </c>
      <c r="J143" s="29" t="n">
        <v>11</v>
      </c>
      <c r="K143" s="29" t="n">
        <v>29</v>
      </c>
      <c r="L143" s="37" t="n">
        <v>9.5</v>
      </c>
      <c r="M143" s="28" t="n">
        <v>6.31</v>
      </c>
      <c r="N143" s="32" t="inlineStr">
        <is>
          <t>常规备选，放在长尾分类；用低价冲量，不单独投流</t>
        </is>
      </c>
    </row>
    <row r="144">
      <c r="A144" s="25" t="n">
        <v>142</v>
      </c>
      <c r="B144" s="25" t="inlineStr">
        <is>
          <t>mericle</t>
        </is>
      </c>
      <c r="C144" s="35" t="inlineStr">
        <is>
          <t>B</t>
        </is>
      </c>
      <c r="D144" s="26" t="inlineStr">
        <is>
          <t>电动磨脚器</t>
        </is>
      </c>
      <c r="E144" s="26" t="inlineStr">
        <is>
          <t>修足器</t>
        </is>
      </c>
      <c r="F144" s="26" t="inlineStr">
        <is>
          <t>Mericle/修足器/白色/YM-129</t>
        </is>
      </c>
      <c r="G144" s="26" t="inlineStr">
        <is>
          <t>XZQ-21</t>
        </is>
      </c>
      <c r="H144" s="29" t="n">
        <v>18</v>
      </c>
      <c r="I144" s="25" t="inlineStr">
        <is>
          <t>¥12–24</t>
        </is>
      </c>
      <c r="J144" s="29" t="n">
        <v>11</v>
      </c>
      <c r="K144" s="29" t="n">
        <v>29</v>
      </c>
      <c r="L144" s="37" t="n">
        <v>9.5</v>
      </c>
      <c r="M144" s="28" t="n">
        <v>6.31</v>
      </c>
      <c r="N144" s="32" t="inlineStr">
        <is>
          <t>常规备选，放在长尾分类；用低价冲量，不单独投流</t>
        </is>
      </c>
    </row>
    <row r="145">
      <c r="A145" s="25" t="n">
        <v>143</v>
      </c>
      <c r="B145" s="25" t="inlineStr">
        <is>
          <t>mericle</t>
        </is>
      </c>
      <c r="C145" s="35" t="inlineStr">
        <is>
          <t>B</t>
        </is>
      </c>
      <c r="D145" s="26" t="inlineStr">
        <is>
          <t>电动磨脚器</t>
        </is>
      </c>
      <c r="E145" s="26" t="inlineStr">
        <is>
          <t>美肤仪(修足器)</t>
        </is>
      </c>
      <c r="F145" s="26" t="inlineStr">
        <is>
          <t>Mericle/修足器/橙色/XZQ-1331</t>
        </is>
      </c>
      <c r="G145" s="26" t="inlineStr">
        <is>
          <t>XZQ-22</t>
        </is>
      </c>
      <c r="H145" s="29" t="n">
        <v>18</v>
      </c>
      <c r="I145" s="25" t="inlineStr">
        <is>
          <t>¥12–24</t>
        </is>
      </c>
      <c r="J145" s="29" t="n">
        <v>11</v>
      </c>
      <c r="K145" s="29" t="n">
        <v>29</v>
      </c>
      <c r="L145" s="37" t="n">
        <v>9.5</v>
      </c>
      <c r="M145" s="28" t="n">
        <v>6.31</v>
      </c>
      <c r="N145" s="32" t="inlineStr">
        <is>
          <t>常规备选，放在长尾分类；用低价冲量，不单独投流</t>
        </is>
      </c>
    </row>
    <row r="146">
      <c r="A146" s="25" t="n">
        <v>144</v>
      </c>
      <c r="B146" s="25" t="inlineStr">
        <is>
          <t>mericle</t>
        </is>
      </c>
      <c r="C146" s="35" t="inlineStr">
        <is>
          <t>B</t>
        </is>
      </c>
      <c r="D146" s="26" t="inlineStr">
        <is>
          <t>电动磨脚器</t>
        </is>
      </c>
      <c r="E146" s="26" t="inlineStr">
        <is>
          <t>美肤仪(修足器)</t>
        </is>
      </c>
      <c r="F146" s="26" t="inlineStr">
        <is>
          <t>Mericle/修足器/蓝色/XZQ-1331</t>
        </is>
      </c>
      <c r="G146" s="26" t="inlineStr">
        <is>
          <t>XZQ-23</t>
        </is>
      </c>
      <c r="H146" s="29" t="n">
        <v>18</v>
      </c>
      <c r="I146" s="25" t="inlineStr">
        <is>
          <t>¥12–24</t>
        </is>
      </c>
      <c r="J146" s="29" t="n">
        <v>11</v>
      </c>
      <c r="K146" s="29" t="n">
        <v>29</v>
      </c>
      <c r="L146" s="37" t="n">
        <v>9.5</v>
      </c>
      <c r="M146" s="28" t="n">
        <v>6.31</v>
      </c>
      <c r="N146" s="32" t="inlineStr">
        <is>
          <t>常规备选，放在长尾分类；用低价冲量，不单独投流</t>
        </is>
      </c>
    </row>
    <row r="147">
      <c r="A147" s="25" t="n">
        <v>145</v>
      </c>
      <c r="B147" s="25" t="inlineStr">
        <is>
          <t>康佳</t>
        </is>
      </c>
      <c r="C147" s="35" t="inlineStr">
        <is>
          <t>B</t>
        </is>
      </c>
      <c r="D147" s="26" t="inlineStr">
        <is>
          <t>电动磨脚器</t>
        </is>
      </c>
      <c r="E147" s="26" t="inlineStr">
        <is>
          <t>康佳修足器</t>
        </is>
      </c>
      <c r="F147" s="26" t="inlineStr">
        <is>
          <t>康佳/修足器二代/白色</t>
        </is>
      </c>
      <c r="G147" s="26" t="inlineStr">
        <is>
          <t>XZQ-04</t>
        </is>
      </c>
      <c r="H147" s="29" t="n">
        <v>18</v>
      </c>
      <c r="I147" s="25" t="inlineStr">
        <is>
          <t>¥12–24</t>
        </is>
      </c>
      <c r="J147" s="29" t="n">
        <v>11</v>
      </c>
      <c r="K147" s="29" t="n">
        <v>29</v>
      </c>
      <c r="L147" s="37" t="n">
        <v>9.5</v>
      </c>
      <c r="M147" s="28" t="n">
        <v>6.31</v>
      </c>
      <c r="N147" s="32" t="inlineStr">
        <is>
          <t>常规备选，放在长尾分类；用低价冲量，不单独投流</t>
        </is>
      </c>
    </row>
    <row r="148">
      <c r="A148" s="25" t="n">
        <v>146</v>
      </c>
      <c r="B148" s="25" t="inlineStr">
        <is>
          <t>康佳</t>
        </is>
      </c>
      <c r="C148" s="35" t="inlineStr">
        <is>
          <t>B</t>
        </is>
      </c>
      <c r="D148" s="26" t="inlineStr">
        <is>
          <t>电动磨脚器</t>
        </is>
      </c>
      <c r="E148" s="26" t="inlineStr">
        <is>
          <t>康佳修足器</t>
        </is>
      </c>
      <c r="F148" s="26" t="inlineStr">
        <is>
          <t>康佳/修足器/显示屏款/白色</t>
        </is>
      </c>
      <c r="G148" s="26" t="inlineStr">
        <is>
          <t>XZQ-02</t>
        </is>
      </c>
      <c r="H148" s="29" t="n">
        <v>18</v>
      </c>
      <c r="I148" s="25" t="inlineStr">
        <is>
          <t>¥12–24</t>
        </is>
      </c>
      <c r="J148" s="29" t="n">
        <v>11</v>
      </c>
      <c r="K148" s="29" t="n">
        <v>29</v>
      </c>
      <c r="L148" s="37" t="n">
        <v>9.5</v>
      </c>
      <c r="M148" s="28" t="n">
        <v>6.31</v>
      </c>
      <c r="N148" s="32" t="inlineStr">
        <is>
          <t>常规备选，放在长尾分类；用低价冲量，不单独投流</t>
        </is>
      </c>
    </row>
    <row r="149">
      <c r="A149" s="25" t="n">
        <v>147</v>
      </c>
      <c r="B149" s="25" t="inlineStr">
        <is>
          <t>康佳</t>
        </is>
      </c>
      <c r="C149" s="35" t="inlineStr">
        <is>
          <t>B</t>
        </is>
      </c>
      <c r="D149" s="26" t="inlineStr">
        <is>
          <t>电动磨脚器</t>
        </is>
      </c>
      <c r="E149" s="26" t="inlineStr">
        <is>
          <t>康佳修足器</t>
        </is>
      </c>
      <c r="F149" s="26" t="inlineStr">
        <is>
          <t>康佳/修足器/显示屏款/绿色</t>
        </is>
      </c>
      <c r="G149" s="26" t="inlineStr">
        <is>
          <t>XZQ-01</t>
        </is>
      </c>
      <c r="H149" s="29" t="n">
        <v>18</v>
      </c>
      <c r="I149" s="25" t="inlineStr">
        <is>
          <t>¥12–24</t>
        </is>
      </c>
      <c r="J149" s="29" t="n">
        <v>11</v>
      </c>
      <c r="K149" s="29" t="n">
        <v>29</v>
      </c>
      <c r="L149" s="37" t="n">
        <v>9.5</v>
      </c>
      <c r="M149" s="28" t="n">
        <v>6.31</v>
      </c>
      <c r="N149" s="32" t="inlineStr">
        <is>
          <t>常规备选，放在长尾分类；用低价冲量，不单独投流</t>
        </is>
      </c>
    </row>
    <row r="150">
      <c r="A150" s="25" t="n">
        <v>148</v>
      </c>
      <c r="B150" s="25" t="inlineStr">
        <is>
          <t>康佳</t>
        </is>
      </c>
      <c r="C150" s="35" t="inlineStr">
        <is>
          <t>B</t>
        </is>
      </c>
      <c r="D150" s="26" t="inlineStr">
        <is>
          <t>电动磨脚器</t>
        </is>
      </c>
      <c r="E150" s="26" t="inlineStr">
        <is>
          <t>康佳修足器</t>
        </is>
      </c>
      <c r="F150" s="26" t="inlineStr">
        <is>
          <t>康佳/修足器三代/白色</t>
        </is>
      </c>
      <c r="G150" s="26" t="inlineStr">
        <is>
          <t>XZQ-09</t>
        </is>
      </c>
      <c r="H150" s="29" t="n">
        <v>18</v>
      </c>
      <c r="I150" s="25" t="inlineStr">
        <is>
          <t>¥12–24</t>
        </is>
      </c>
      <c r="J150" s="29" t="n">
        <v>11</v>
      </c>
      <c r="K150" s="29" t="n">
        <v>29</v>
      </c>
      <c r="L150" s="37" t="n">
        <v>9.5</v>
      </c>
      <c r="M150" s="28" t="n">
        <v>6.31</v>
      </c>
      <c r="N150" s="32" t="inlineStr">
        <is>
          <t>常规备选，放在长尾分类；用低价冲量，不单独投流</t>
        </is>
      </c>
    </row>
    <row r="151">
      <c r="A151" s="25" t="n">
        <v>149</v>
      </c>
      <c r="B151" s="25" t="inlineStr">
        <is>
          <t>康佳</t>
        </is>
      </c>
      <c r="C151" s="35" t="inlineStr">
        <is>
          <t>B</t>
        </is>
      </c>
      <c r="D151" s="26" t="inlineStr">
        <is>
          <t>电动磨脚器</t>
        </is>
      </c>
      <c r="E151" s="26" t="inlineStr">
        <is>
          <t>康佳美肤仪</t>
        </is>
      </c>
      <c r="F151" s="26" t="inlineStr">
        <is>
          <t>康佳/美肤仪/黄色</t>
        </is>
      </c>
      <c r="G151" s="26" t="inlineStr">
        <is>
          <t>KJ-MFY-HS</t>
        </is>
      </c>
      <c r="H151" s="29" t="n">
        <v>18</v>
      </c>
      <c r="I151" s="25" t="inlineStr">
        <is>
          <t>¥12–24</t>
        </is>
      </c>
      <c r="J151" s="29" t="n">
        <v>11</v>
      </c>
      <c r="K151" s="29" t="n">
        <v>29</v>
      </c>
      <c r="L151" s="37" t="n">
        <v>9.5</v>
      </c>
      <c r="M151" s="28" t="n">
        <v>6.31</v>
      </c>
      <c r="N151" s="32" t="inlineStr">
        <is>
          <t>常规备选，放在长尾分类；用低价冲量，不单独投流</t>
        </is>
      </c>
    </row>
    <row r="152">
      <c r="A152" s="25" t="n">
        <v>150</v>
      </c>
      <c r="B152" s="25" t="inlineStr">
        <is>
          <t>康佳</t>
        </is>
      </c>
      <c r="C152" s="35" t="inlineStr">
        <is>
          <t>B</t>
        </is>
      </c>
      <c r="D152" s="26" t="inlineStr">
        <is>
          <t>电动磨脚器</t>
        </is>
      </c>
      <c r="E152" s="26" t="inlineStr">
        <is>
          <t>康佳美肤仪</t>
        </is>
      </c>
      <c r="F152" s="26" t="inlineStr">
        <is>
          <t>康佳/美肤仪/绿色</t>
        </is>
      </c>
      <c r="G152" s="26" t="inlineStr">
        <is>
          <t>KJ-MFY-LS</t>
        </is>
      </c>
      <c r="H152" s="29" t="n">
        <v>18</v>
      </c>
      <c r="I152" s="25" t="inlineStr">
        <is>
          <t>¥12–24</t>
        </is>
      </c>
      <c r="J152" s="29" t="n">
        <v>11</v>
      </c>
      <c r="K152" s="29" t="n">
        <v>29</v>
      </c>
      <c r="L152" s="37" t="n">
        <v>9.5</v>
      </c>
      <c r="M152" s="28" t="n">
        <v>6.31</v>
      </c>
      <c r="N152" s="32" t="inlineStr">
        <is>
          <t>常规备选，放在长尾分类；用低价冲量，不单独投流</t>
        </is>
      </c>
    </row>
    <row r="153">
      <c r="A153" s="25" t="n">
        <v>151</v>
      </c>
      <c r="B153" s="25" t="inlineStr">
        <is>
          <t>康佳</t>
        </is>
      </c>
      <c r="C153" s="35" t="inlineStr">
        <is>
          <t>B</t>
        </is>
      </c>
      <c r="D153" s="26" t="inlineStr">
        <is>
          <t>电动磨脚器</t>
        </is>
      </c>
      <c r="E153" s="26" t="inlineStr">
        <is>
          <t>康佳修足器</t>
        </is>
      </c>
      <c r="F153" s="26" t="inlineStr">
        <is>
          <t>康佳/修足器三代/蓝色/1313货号L</t>
        </is>
      </c>
      <c r="G153" s="26" t="inlineStr">
        <is>
          <t>XZQ-16</t>
        </is>
      </c>
      <c r="H153" s="29" t="n">
        <v>18</v>
      </c>
      <c r="I153" s="25" t="inlineStr">
        <is>
          <t>¥12–24</t>
        </is>
      </c>
      <c r="J153" s="29" t="n">
        <v>11</v>
      </c>
      <c r="K153" s="29" t="n">
        <v>29</v>
      </c>
      <c r="L153" s="37" t="n">
        <v>9.5</v>
      </c>
      <c r="M153" s="28" t="n">
        <v>6.31</v>
      </c>
      <c r="N153" s="32" t="inlineStr">
        <is>
          <t>常规备选，放在长尾分类；用低价冲量，不单独投流</t>
        </is>
      </c>
    </row>
    <row r="154">
      <c r="A154" s="25" t="n">
        <v>152</v>
      </c>
      <c r="B154" s="25" t="inlineStr">
        <is>
          <t>康佳</t>
        </is>
      </c>
      <c r="C154" s="35" t="inlineStr">
        <is>
          <t>B</t>
        </is>
      </c>
      <c r="D154" s="26" t="inlineStr">
        <is>
          <t>电动磨脚器</t>
        </is>
      </c>
      <c r="E154" s="26" t="inlineStr">
        <is>
          <t>康佳修足器</t>
        </is>
      </c>
      <c r="F154" s="26" t="inlineStr">
        <is>
          <t>康佳/修足器三代/白色/1313货号L</t>
        </is>
      </c>
      <c r="G154" s="26" t="inlineStr">
        <is>
          <t>XZQ-20</t>
        </is>
      </c>
      <c r="H154" s="29" t="n">
        <v>18</v>
      </c>
      <c r="I154" s="25" t="inlineStr">
        <is>
          <t>¥12–24</t>
        </is>
      </c>
      <c r="J154" s="29" t="n">
        <v>11</v>
      </c>
      <c r="K154" s="29" t="n">
        <v>29</v>
      </c>
      <c r="L154" s="37" t="n">
        <v>9.5</v>
      </c>
      <c r="M154" s="28" t="n">
        <v>6.31</v>
      </c>
      <c r="N154" s="32" t="inlineStr">
        <is>
          <t>常规备选，放在长尾分类；用低价冲量，不单独投流</t>
        </is>
      </c>
    </row>
    <row r="155">
      <c r="A155" s="25" t="n">
        <v>153</v>
      </c>
      <c r="B155" s="25" t="inlineStr">
        <is>
          <t>美悟</t>
        </is>
      </c>
      <c r="C155" s="35" t="inlineStr">
        <is>
          <t>B</t>
        </is>
      </c>
      <c r="D155" s="26" t="inlineStr">
        <is>
          <t>电动磨脚器</t>
        </is>
      </c>
      <c r="E155" s="26" t="inlineStr">
        <is>
          <t>美肤仪</t>
        </is>
      </c>
      <c r="F155" s="26" t="inlineStr">
        <is>
          <t>美悟/铲皮机/白色/CPD-007</t>
        </is>
      </c>
      <c r="G155" s="26" t="inlineStr">
        <is>
          <t>MY-CPJ-01</t>
        </is>
      </c>
      <c r="H155" s="29" t="n">
        <v>18</v>
      </c>
      <c r="I155" s="25" t="inlineStr">
        <is>
          <t>¥12–24</t>
        </is>
      </c>
      <c r="J155" s="29" t="n">
        <v>11</v>
      </c>
      <c r="K155" s="29" t="n">
        <v>29</v>
      </c>
      <c r="L155" s="37" t="n">
        <v>9.5</v>
      </c>
      <c r="M155" s="28" t="n">
        <v>6.31</v>
      </c>
      <c r="N155" s="32" t="inlineStr">
        <is>
          <t>常规备选，放在长尾分类；用低价冲量，不单独投流</t>
        </is>
      </c>
    </row>
    <row r="156">
      <c r="A156" s="25" t="n">
        <v>154</v>
      </c>
      <c r="B156" s="25" t="inlineStr">
        <is>
          <t>美悟</t>
        </is>
      </c>
      <c r="C156" s="35" t="inlineStr">
        <is>
          <t>B</t>
        </is>
      </c>
      <c r="D156" s="26" t="inlineStr">
        <is>
          <t>电动磨脚器</t>
        </is>
      </c>
      <c r="E156" s="26" t="inlineStr">
        <is>
          <t>美肤仪</t>
        </is>
      </c>
      <c r="F156" s="26" t="inlineStr">
        <is>
          <t>美悟/铲皮机/粉色/CPD-007</t>
        </is>
      </c>
      <c r="G156" s="26" t="inlineStr">
        <is>
          <t>MY-CPJ-02</t>
        </is>
      </c>
      <c r="H156" s="29" t="n">
        <v>18</v>
      </c>
      <c r="I156" s="25" t="inlineStr">
        <is>
          <t>¥12–24</t>
        </is>
      </c>
      <c r="J156" s="29" t="n">
        <v>11</v>
      </c>
      <c r="K156" s="29" t="n">
        <v>29</v>
      </c>
      <c r="L156" s="37" t="n">
        <v>9.5</v>
      </c>
      <c r="M156" s="28" t="n">
        <v>6.31</v>
      </c>
      <c r="N156" s="32" t="inlineStr">
        <is>
          <t>常规备选，放在长尾分类；用低价冲量，不单独投流</t>
        </is>
      </c>
    </row>
    <row r="157">
      <c r="A157" s="25" t="n">
        <v>155</v>
      </c>
      <c r="B157" s="25" t="inlineStr">
        <is>
          <t>美悟</t>
        </is>
      </c>
      <c r="C157" s="35" t="inlineStr">
        <is>
          <t>B</t>
        </is>
      </c>
      <c r="D157" s="26" t="inlineStr">
        <is>
          <t>电动磨脚器</t>
        </is>
      </c>
      <c r="E157" s="26" t="inlineStr">
        <is>
          <t>修足器</t>
        </is>
      </c>
      <c r="F157" s="26" t="inlineStr">
        <is>
          <t>美悟/修足器/白色/ XZQ-1313L</t>
        </is>
      </c>
      <c r="G157" s="26" t="inlineStr">
        <is>
          <t>XZQ-24</t>
        </is>
      </c>
      <c r="H157" s="29" t="n">
        <v>18</v>
      </c>
      <c r="I157" s="25" t="inlineStr">
        <is>
          <t>¥12–24</t>
        </is>
      </c>
      <c r="J157" s="29" t="n">
        <v>11</v>
      </c>
      <c r="K157" s="29" t="n">
        <v>29</v>
      </c>
      <c r="L157" s="37" t="n">
        <v>9.5</v>
      </c>
      <c r="M157" s="28" t="n">
        <v>6.31</v>
      </c>
      <c r="N157" s="32" t="inlineStr">
        <is>
          <t>常规备选，放在长尾分类；用低价冲量，不单独投流</t>
        </is>
      </c>
    </row>
    <row r="158">
      <c r="A158" s="25" t="n">
        <v>156</v>
      </c>
      <c r="B158" s="25" t="inlineStr">
        <is>
          <t>通货</t>
        </is>
      </c>
      <c r="C158" s="35" t="inlineStr">
        <is>
          <t>B</t>
        </is>
      </c>
      <c r="D158" s="26" t="inlineStr">
        <is>
          <t>电动磨脚器</t>
        </is>
      </c>
      <c r="E158" s="26" t="inlineStr">
        <is>
          <t>电动磨甲器</t>
        </is>
      </c>
      <c r="F158" s="26" t="inlineStr">
        <is>
          <t>电动磨甲器/黄色/ZJJ006</t>
        </is>
      </c>
      <c r="G158" s="26" t="inlineStr">
        <is>
          <t>MJQ-03</t>
        </is>
      </c>
      <c r="H158" s="29" t="n">
        <v>18</v>
      </c>
      <c r="I158" s="25" t="inlineStr">
        <is>
          <t>¥12–24</t>
        </is>
      </c>
      <c r="J158" s="29" t="n">
        <v>11</v>
      </c>
      <c r="K158" s="29" t="n">
        <v>29</v>
      </c>
      <c r="L158" s="37" t="n">
        <v>9.5</v>
      </c>
      <c r="M158" s="28" t="n">
        <v>6.31</v>
      </c>
      <c r="N158" s="32" t="inlineStr">
        <is>
          <t>常规备选，放在长尾分类；用低价冲量，不单独投流</t>
        </is>
      </c>
    </row>
    <row r="159">
      <c r="A159" s="25" t="n">
        <v>157</v>
      </c>
      <c r="B159" s="25" t="inlineStr">
        <is>
          <t>夏新</t>
        </is>
      </c>
      <c r="C159" s="35" t="inlineStr">
        <is>
          <t>B</t>
        </is>
      </c>
      <c r="D159" s="26" t="inlineStr">
        <is>
          <t>冲牙器</t>
        </is>
      </c>
      <c r="E159" s="26" t="inlineStr">
        <is>
          <t>便携式冲牙器</t>
        </is>
      </c>
      <c r="F159" s="26" t="inlineStr">
        <is>
          <t>夏新/冲牙器/白色</t>
        </is>
      </c>
      <c r="G159" s="26" t="inlineStr">
        <is>
          <t>CYQ-04</t>
        </is>
      </c>
      <c r="H159" s="29" t="n">
        <v>20</v>
      </c>
      <c r="I159" s="25" t="inlineStr">
        <is>
          <t>¥20–20</t>
        </is>
      </c>
      <c r="J159" s="29" t="n">
        <v>19</v>
      </c>
      <c r="K159" s="29" t="n">
        <v>41</v>
      </c>
      <c r="L159" s="37" t="n">
        <v>3.5</v>
      </c>
      <c r="M159" s="28" t="n">
        <v>6.31</v>
      </c>
      <c r="N159" s="32" t="inlineStr">
        <is>
          <t>常规备选，放在长尾分类；用低价冲量，不单独投流</t>
        </is>
      </c>
    </row>
    <row r="160">
      <c r="A160" s="25" t="n">
        <v>158</v>
      </c>
      <c r="B160" s="25" t="inlineStr">
        <is>
          <t>夏新</t>
        </is>
      </c>
      <c r="C160" s="35" t="inlineStr">
        <is>
          <t>B</t>
        </is>
      </c>
      <c r="D160" s="26" t="inlineStr">
        <is>
          <t>冲牙器</t>
        </is>
      </c>
      <c r="E160" s="26" t="inlineStr">
        <is>
          <t>便携式冲牙器</t>
        </is>
      </c>
      <c r="F160" s="26" t="inlineStr">
        <is>
          <t>夏新/冲牙器/橙色</t>
        </is>
      </c>
      <c r="G160" s="26" t="inlineStr">
        <is>
          <t>CYQ-05</t>
        </is>
      </c>
      <c r="H160" s="29" t="n">
        <v>20</v>
      </c>
      <c r="I160" s="25" t="inlineStr">
        <is>
          <t>¥20–20</t>
        </is>
      </c>
      <c r="J160" s="29" t="n">
        <v>19</v>
      </c>
      <c r="K160" s="29" t="n">
        <v>41</v>
      </c>
      <c r="L160" s="37" t="n">
        <v>3.5</v>
      </c>
      <c r="M160" s="28" t="n">
        <v>6.31</v>
      </c>
      <c r="N160" s="32" t="inlineStr">
        <is>
          <t>常规备选，放在长尾分类；用低价冲量，不单独投流</t>
        </is>
      </c>
    </row>
    <row r="161">
      <c r="A161" s="25" t="n">
        <v>159</v>
      </c>
      <c r="B161" s="25" t="inlineStr">
        <is>
          <t>夏新</t>
        </is>
      </c>
      <c r="C161" s="35" t="inlineStr">
        <is>
          <t>B</t>
        </is>
      </c>
      <c r="D161" s="26" t="inlineStr">
        <is>
          <t>冲牙器</t>
        </is>
      </c>
      <c r="E161" s="26" t="inlineStr">
        <is>
          <t>便携式冲牙器</t>
        </is>
      </c>
      <c r="F161" s="26" t="inlineStr">
        <is>
          <t>夏新/冲牙器/绿色</t>
        </is>
      </c>
      <c r="G161" s="26" t="inlineStr">
        <is>
          <t>CYQ-06</t>
        </is>
      </c>
      <c r="H161" s="29" t="n">
        <v>20</v>
      </c>
      <c r="I161" s="25" t="inlineStr">
        <is>
          <t>¥20–20</t>
        </is>
      </c>
      <c r="J161" s="29" t="n">
        <v>19</v>
      </c>
      <c r="K161" s="29" t="n">
        <v>41</v>
      </c>
      <c r="L161" s="37" t="n">
        <v>3.5</v>
      </c>
      <c r="M161" s="28" t="n">
        <v>6.31</v>
      </c>
      <c r="N161" s="32" t="inlineStr">
        <is>
          <t>常规备选，放在长尾分类；用低价冲量，不单独投流</t>
        </is>
      </c>
    </row>
    <row r="162">
      <c r="A162" s="25" t="n">
        <v>160</v>
      </c>
      <c r="B162" s="25" t="inlineStr">
        <is>
          <t>夏新</t>
        </is>
      </c>
      <c r="C162" s="35" t="inlineStr">
        <is>
          <t>B</t>
        </is>
      </c>
      <c r="D162" s="26" t="inlineStr">
        <is>
          <t>电动磨脚器</t>
        </is>
      </c>
      <c r="E162" s="26" t="inlineStr">
        <is>
          <t>修足器</t>
        </is>
      </c>
      <c r="F162" s="26" t="inlineStr">
        <is>
          <t>夏新/修足器/灰色</t>
        </is>
      </c>
      <c r="G162" s="26" t="inlineStr">
        <is>
          <t>XZQ-13</t>
        </is>
      </c>
      <c r="H162" s="29" t="n">
        <v>18</v>
      </c>
      <c r="I162" s="25" t="inlineStr">
        <is>
          <t>¥12–24</t>
        </is>
      </c>
      <c r="J162" s="29" t="n">
        <v>11</v>
      </c>
      <c r="K162" s="29" t="n">
        <v>29</v>
      </c>
      <c r="L162" s="37" t="n">
        <v>9.5</v>
      </c>
      <c r="M162" s="28" t="n">
        <v>6.31</v>
      </c>
      <c r="N162" s="32" t="inlineStr">
        <is>
          <t>常规备选，放在长尾分类；用低价冲量，不单独投流</t>
        </is>
      </c>
    </row>
    <row r="163">
      <c r="A163" s="25" t="n">
        <v>161</v>
      </c>
      <c r="B163" s="25" t="inlineStr">
        <is>
          <t>夏新</t>
        </is>
      </c>
      <c r="C163" s="35" t="inlineStr">
        <is>
          <t>B</t>
        </is>
      </c>
      <c r="D163" s="26" t="inlineStr">
        <is>
          <t>电动磨脚器</t>
        </is>
      </c>
      <c r="E163" s="26" t="inlineStr">
        <is>
          <t>修足器</t>
        </is>
      </c>
      <c r="F163" s="26" t="inlineStr">
        <is>
          <t>夏新/修足器/橙色</t>
        </is>
      </c>
      <c r="G163" s="26" t="inlineStr">
        <is>
          <t>XZQ-14</t>
        </is>
      </c>
      <c r="H163" s="29" t="n">
        <v>18</v>
      </c>
      <c r="I163" s="25" t="inlineStr">
        <is>
          <t>¥12–24</t>
        </is>
      </c>
      <c r="J163" s="29" t="n">
        <v>11</v>
      </c>
      <c r="K163" s="29" t="n">
        <v>29</v>
      </c>
      <c r="L163" s="37" t="n">
        <v>9.5</v>
      </c>
      <c r="M163" s="28" t="n">
        <v>6.31</v>
      </c>
      <c r="N163" s="32" t="inlineStr">
        <is>
          <t>常规备选，放在长尾分类；用低价冲量，不单独投流</t>
        </is>
      </c>
    </row>
    <row r="164">
      <c r="A164" s="25" t="n">
        <v>162</v>
      </c>
      <c r="B164" s="25" t="inlineStr">
        <is>
          <t>夏新</t>
        </is>
      </c>
      <c r="C164" s="35" t="inlineStr">
        <is>
          <t>B</t>
        </is>
      </c>
      <c r="D164" s="26" t="inlineStr">
        <is>
          <t>电动磨脚器</t>
        </is>
      </c>
      <c r="E164" s="26" t="inlineStr">
        <is>
          <t>修足器</t>
        </is>
      </c>
      <c r="F164" s="26" t="inlineStr">
        <is>
          <t>夏新/修足器/蓝色</t>
        </is>
      </c>
      <c r="G164" s="26" t="inlineStr">
        <is>
          <t>XZQ-15</t>
        </is>
      </c>
      <c r="H164" s="29" t="n">
        <v>18</v>
      </c>
      <c r="I164" s="25" t="inlineStr">
        <is>
          <t>¥12–24</t>
        </is>
      </c>
      <c r="J164" s="29" t="n">
        <v>11</v>
      </c>
      <c r="K164" s="29" t="n">
        <v>29</v>
      </c>
      <c r="L164" s="37" t="n">
        <v>9.5</v>
      </c>
      <c r="M164" s="28" t="n">
        <v>6.31</v>
      </c>
      <c r="N164" s="32" t="inlineStr">
        <is>
          <t>常规备选，放在长尾分类；用低价冲量，不单独投流</t>
        </is>
      </c>
    </row>
    <row r="165">
      <c r="A165" s="25" t="n">
        <v>163</v>
      </c>
      <c r="B165" s="25" t="inlineStr">
        <is>
          <t>夏新</t>
        </is>
      </c>
      <c r="C165" s="35" t="inlineStr">
        <is>
          <t>B</t>
        </is>
      </c>
      <c r="D165" s="26" t="inlineStr">
        <is>
          <t>多功能研磨机</t>
        </is>
      </c>
      <c r="E165" s="26" t="inlineStr">
        <is>
          <t>研磨机</t>
        </is>
      </c>
      <c r="F165" s="26" t="inlineStr">
        <is>
          <t>夏新/研磨机/A010</t>
        </is>
      </c>
      <c r="G165" s="26" t="inlineStr">
        <is>
          <t>YMJ-01</t>
        </is>
      </c>
      <c r="H165" s="29" t="n">
        <v>19</v>
      </c>
      <c r="I165" s="25" t="inlineStr">
        <is>
          <t>¥19–19</t>
        </is>
      </c>
      <c r="J165" s="29" t="n">
        <v>18</v>
      </c>
      <c r="K165" s="29" t="n">
        <v>25</v>
      </c>
      <c r="L165" s="37" t="n">
        <v>18</v>
      </c>
      <c r="M165" s="28" t="n">
        <v>6.31</v>
      </c>
      <c r="N165" s="32" t="inlineStr">
        <is>
          <t>常规备选，放在长尾分类；用低价冲量，不单独投流</t>
        </is>
      </c>
    </row>
    <row r="166">
      <c r="A166" s="25" t="n">
        <v>164</v>
      </c>
      <c r="B166" s="25" t="inlineStr">
        <is>
          <t>夏新</t>
        </is>
      </c>
      <c r="C166" s="35" t="inlineStr">
        <is>
          <t>B</t>
        </is>
      </c>
      <c r="D166" s="26" t="inlineStr">
        <is>
          <t>多功能研磨机</t>
        </is>
      </c>
      <c r="E166" s="26" t="inlineStr">
        <is>
          <t>研磨机</t>
        </is>
      </c>
      <c r="F166" s="26" t="inlineStr">
        <is>
          <t>夏新/研磨机/HJS-1833</t>
        </is>
      </c>
      <c r="G166" s="26" t="inlineStr">
        <is>
          <t>YMJ-04</t>
        </is>
      </c>
      <c r="H166" s="29" t="n">
        <v>19</v>
      </c>
      <c r="I166" s="25" t="inlineStr">
        <is>
          <t>¥19–19</t>
        </is>
      </c>
      <c r="J166" s="29" t="n">
        <v>18</v>
      </c>
      <c r="K166" s="29" t="n">
        <v>25</v>
      </c>
      <c r="L166" s="37" t="n">
        <v>18</v>
      </c>
      <c r="M166" s="28" t="n">
        <v>6.31</v>
      </c>
      <c r="N166" s="32" t="inlineStr">
        <is>
          <t>常规备选，放在长尾分类；用低价冲量，不单独投流</t>
        </is>
      </c>
    </row>
    <row r="167">
      <c r="A167" s="25" t="n">
        <v>165</v>
      </c>
      <c r="B167" s="25" t="inlineStr">
        <is>
          <t>夏新</t>
        </is>
      </c>
      <c r="C167" s="35" t="inlineStr">
        <is>
          <t>B</t>
        </is>
      </c>
      <c r="D167" s="26" t="inlineStr">
        <is>
          <t>多功能研磨机</t>
        </is>
      </c>
      <c r="E167" s="26" t="inlineStr">
        <is>
          <t>研磨机</t>
        </is>
      </c>
      <c r="F167" s="26" t="inlineStr">
        <is>
          <t>夏新/研磨机/A010（新款）</t>
        </is>
      </c>
      <c r="G167" s="26" t="inlineStr">
        <is>
          <t>YMJ-07</t>
        </is>
      </c>
      <c r="H167" s="29" t="n">
        <v>19</v>
      </c>
      <c r="I167" s="25" t="inlineStr">
        <is>
          <t>¥19–19</t>
        </is>
      </c>
      <c r="J167" s="29" t="n">
        <v>18</v>
      </c>
      <c r="K167" s="29" t="n">
        <v>25</v>
      </c>
      <c r="L167" s="37" t="n">
        <v>18</v>
      </c>
      <c r="M167" s="28" t="n">
        <v>6.31</v>
      </c>
      <c r="N167" s="32" t="inlineStr">
        <is>
          <t>常规备选，放在长尾分类；用低价冲量，不单独投流</t>
        </is>
      </c>
    </row>
    <row r="168">
      <c r="A168" s="25" t="n">
        <v>166</v>
      </c>
      <c r="B168" s="25" t="inlineStr">
        <is>
          <t>通货</t>
        </is>
      </c>
      <c r="C168" s="35" t="inlineStr">
        <is>
          <t>B</t>
        </is>
      </c>
      <c r="D168" s="26" t="inlineStr">
        <is>
          <t>呼吸哑铃</t>
        </is>
      </c>
      <c r="E168" s="26" t="inlineStr">
        <is>
          <t>呼吸哑铃</t>
        </is>
      </c>
      <c r="F168" s="26" t="inlineStr">
        <is>
          <t>呼吸哑铃/粉色</t>
        </is>
      </c>
      <c r="G168" s="26" t="inlineStr">
        <is>
          <t>HXYL-01</t>
        </is>
      </c>
      <c r="H168" s="29" t="n">
        <v>54</v>
      </c>
      <c r="I168" s="25" t="inlineStr">
        <is>
          <t>¥48–59</t>
        </is>
      </c>
      <c r="J168" s="29" t="n">
        <v>46</v>
      </c>
      <c r="K168" s="29" t="n">
        <v>80</v>
      </c>
      <c r="L168" s="37" t="n">
        <v>2</v>
      </c>
      <c r="M168" s="28" t="n">
        <v>6.21</v>
      </c>
      <c r="N168" s="32" t="inlineStr">
        <is>
          <t>常规备选，放在长尾分类；用低价冲量，不单独投流</t>
        </is>
      </c>
    </row>
    <row r="169">
      <c r="A169" s="25" t="n">
        <v>167</v>
      </c>
      <c r="B169" s="25" t="inlineStr">
        <is>
          <t>mericle</t>
        </is>
      </c>
      <c r="C169" s="35" t="inlineStr">
        <is>
          <t>B</t>
        </is>
      </c>
      <c r="D169" s="26" t="inlineStr">
        <is>
          <t>直发梳</t>
        </is>
      </c>
      <c r="E169" s="26" t="inlineStr">
        <is>
          <t>直发卷发器</t>
        </is>
      </c>
      <c r="F169" s="26" t="inlineStr">
        <is>
          <t>美丽蔻/直发梳/绿色</t>
        </is>
      </c>
      <c r="G169" s="26" t="inlineStr">
        <is>
          <t>Mericle/ZFS/L</t>
        </is>
      </c>
      <c r="H169" s="29" t="n">
        <v>28</v>
      </c>
      <c r="I169" s="25" t="inlineStr">
        <is>
          <t>¥20–35</t>
        </is>
      </c>
      <c r="J169" s="29" t="n">
        <v>19</v>
      </c>
      <c r="K169" s="29" t="n">
        <v>49</v>
      </c>
      <c r="L169" s="37" t="n">
        <v>8</v>
      </c>
      <c r="M169" s="28" t="n">
        <v>6.2</v>
      </c>
      <c r="N169" s="32" t="inlineStr">
        <is>
          <t>常规备选，放在长尾分类；用低价冲量，不单独投流</t>
        </is>
      </c>
    </row>
    <row r="170">
      <c r="A170" s="25" t="n">
        <v>168</v>
      </c>
      <c r="B170" s="25" t="inlineStr">
        <is>
          <t>mericle</t>
        </is>
      </c>
      <c r="C170" s="35" t="inlineStr">
        <is>
          <t>B</t>
        </is>
      </c>
      <c r="D170" s="26" t="inlineStr">
        <is>
          <t>直发梳</t>
        </is>
      </c>
      <c r="E170" s="26" t="inlineStr">
        <is>
          <t>无线直发梳</t>
        </is>
      </c>
      <c r="F170" s="26" t="inlineStr">
        <is>
          <t>Mericle/无线直发梳/紫色</t>
        </is>
      </c>
      <c r="G170" s="26" t="inlineStr">
        <is>
          <t>M/WXZFS/ZS</t>
        </is>
      </c>
      <c r="H170" s="29" t="n">
        <v>28</v>
      </c>
      <c r="I170" s="25" t="inlineStr">
        <is>
          <t>¥20–35</t>
        </is>
      </c>
      <c r="J170" s="29" t="n">
        <v>19</v>
      </c>
      <c r="K170" s="29" t="n">
        <v>49</v>
      </c>
      <c r="L170" s="37" t="n">
        <v>8</v>
      </c>
      <c r="M170" s="28" t="n">
        <v>6.2</v>
      </c>
      <c r="N170" s="32" t="inlineStr">
        <is>
          <t>常规备选，放在长尾分类；用低价冲量，不单独投流</t>
        </is>
      </c>
    </row>
    <row r="171">
      <c r="A171" s="25" t="n">
        <v>169</v>
      </c>
      <c r="B171" s="25" t="inlineStr">
        <is>
          <t>mericle</t>
        </is>
      </c>
      <c r="C171" s="35" t="inlineStr">
        <is>
          <t>B</t>
        </is>
      </c>
      <c r="D171" s="26" t="inlineStr">
        <is>
          <t>直发梳</t>
        </is>
      </c>
      <c r="E171" s="26" t="inlineStr">
        <is>
          <t>无线直发梳</t>
        </is>
      </c>
      <c r="F171" s="26" t="inlineStr">
        <is>
          <t>Mericle/无线直发梳/粉色</t>
        </is>
      </c>
      <c r="G171" s="26" t="inlineStr">
        <is>
          <t>M/WXZFS/FS</t>
        </is>
      </c>
      <c r="H171" s="29" t="n">
        <v>28</v>
      </c>
      <c r="I171" s="25" t="inlineStr">
        <is>
          <t>¥20–35</t>
        </is>
      </c>
      <c r="J171" s="29" t="n">
        <v>19</v>
      </c>
      <c r="K171" s="29" t="n">
        <v>49</v>
      </c>
      <c r="L171" s="37" t="n">
        <v>8</v>
      </c>
      <c r="M171" s="28" t="n">
        <v>6.2</v>
      </c>
      <c r="N171" s="32" t="inlineStr">
        <is>
          <t>常规备选，放在长尾分类；用低价冲量，不单独投流</t>
        </is>
      </c>
    </row>
    <row r="172">
      <c r="A172" s="25" t="n">
        <v>170</v>
      </c>
      <c r="B172" s="25" t="inlineStr">
        <is>
          <t>mericle</t>
        </is>
      </c>
      <c r="C172" s="35" t="inlineStr">
        <is>
          <t>B</t>
        </is>
      </c>
      <c r="D172" s="26" t="inlineStr">
        <is>
          <t>直发梳</t>
        </is>
      </c>
      <c r="E172" s="26" t="inlineStr">
        <is>
          <t>无线直发梳</t>
        </is>
      </c>
      <c r="F172" s="26" t="inlineStr">
        <is>
          <t>Mericle/负离子直发梳/蓝色</t>
        </is>
      </c>
      <c r="G172" s="26" t="inlineStr">
        <is>
          <t>Mericle-ZFS-LS</t>
        </is>
      </c>
      <c r="H172" s="29" t="n">
        <v>28</v>
      </c>
      <c r="I172" s="25" t="inlineStr">
        <is>
          <t>¥20–35</t>
        </is>
      </c>
      <c r="J172" s="29" t="n">
        <v>19</v>
      </c>
      <c r="K172" s="29" t="n">
        <v>49</v>
      </c>
      <c r="L172" s="37" t="n">
        <v>8</v>
      </c>
      <c r="M172" s="28" t="n">
        <v>6.2</v>
      </c>
      <c r="N172" s="32" t="inlineStr">
        <is>
          <t>常规备选，放在长尾分类；用低价冲量，不单独投流</t>
        </is>
      </c>
    </row>
    <row r="173">
      <c r="A173" s="25" t="n">
        <v>171</v>
      </c>
      <c r="B173" s="25" t="inlineStr">
        <is>
          <t>mericle</t>
        </is>
      </c>
      <c r="C173" s="35" t="inlineStr">
        <is>
          <t>B</t>
        </is>
      </c>
      <c r="D173" s="26" t="inlineStr">
        <is>
          <t>直发梳</t>
        </is>
      </c>
      <c r="E173" s="26" t="inlineStr">
        <is>
          <t>无线直发梳</t>
        </is>
      </c>
      <c r="F173" s="26" t="inlineStr">
        <is>
          <t>Mericle/负离子直发梳/粉色</t>
        </is>
      </c>
      <c r="G173" s="26" t="inlineStr">
        <is>
          <t>Mericle-ZFS-FS</t>
        </is>
      </c>
      <c r="H173" s="29" t="n">
        <v>28</v>
      </c>
      <c r="I173" s="25" t="inlineStr">
        <is>
          <t>¥20–35</t>
        </is>
      </c>
      <c r="J173" s="29" t="n">
        <v>19</v>
      </c>
      <c r="K173" s="29" t="n">
        <v>49</v>
      </c>
      <c r="L173" s="37" t="n">
        <v>8</v>
      </c>
      <c r="M173" s="28" t="n">
        <v>6.2</v>
      </c>
      <c r="N173" s="32" t="inlineStr">
        <is>
          <t>常规备选，放在长尾分类；用低价冲量，不单独投流</t>
        </is>
      </c>
    </row>
    <row r="174">
      <c r="A174" s="25" t="n">
        <v>172</v>
      </c>
      <c r="B174" s="25" t="inlineStr">
        <is>
          <t>mericle</t>
        </is>
      </c>
      <c r="C174" s="35" t="inlineStr">
        <is>
          <t>B</t>
        </is>
      </c>
      <c r="D174" s="26" t="inlineStr">
        <is>
          <t>直发梳</t>
        </is>
      </c>
      <c r="E174" s="26" t="inlineStr">
        <is>
          <t>无线直发梳</t>
        </is>
      </c>
      <c r="F174" s="26" t="inlineStr">
        <is>
          <t>Mericle/二代无线直发梳/粉色</t>
        </is>
      </c>
      <c r="G174" s="26" t="inlineStr">
        <is>
          <t>Mericle-WXZFS-01</t>
        </is>
      </c>
      <c r="H174" s="29" t="n">
        <v>28</v>
      </c>
      <c r="I174" s="25" t="inlineStr">
        <is>
          <t>¥20–35</t>
        </is>
      </c>
      <c r="J174" s="29" t="n">
        <v>19</v>
      </c>
      <c r="K174" s="29" t="n">
        <v>49</v>
      </c>
      <c r="L174" s="37" t="n">
        <v>8</v>
      </c>
      <c r="M174" s="28" t="n">
        <v>6.2</v>
      </c>
      <c r="N174" s="32" t="inlineStr">
        <is>
          <t>常规备选，放在长尾分类；用低价冲量，不单独投流</t>
        </is>
      </c>
    </row>
    <row r="175">
      <c r="A175" s="25" t="n">
        <v>173</v>
      </c>
      <c r="B175" s="25" t="inlineStr">
        <is>
          <t>mericle</t>
        </is>
      </c>
      <c r="C175" s="35" t="inlineStr">
        <is>
          <t>B</t>
        </is>
      </c>
      <c r="D175" s="26" t="inlineStr">
        <is>
          <t>直发梳</t>
        </is>
      </c>
      <c r="E175" s="26" t="inlineStr">
        <is>
          <t>无线直发梳</t>
        </is>
      </c>
      <c r="F175" s="26" t="inlineStr">
        <is>
          <t>Mericle/二代无线直发梳/白色</t>
        </is>
      </c>
      <c r="G175" s="26" t="inlineStr">
        <is>
          <t>Mericle-WXZFS-02</t>
        </is>
      </c>
      <c r="H175" s="29" t="n">
        <v>28</v>
      </c>
      <c r="I175" s="25" t="inlineStr">
        <is>
          <t>¥20–35</t>
        </is>
      </c>
      <c r="J175" s="29" t="n">
        <v>19</v>
      </c>
      <c r="K175" s="29" t="n">
        <v>49</v>
      </c>
      <c r="L175" s="37" t="n">
        <v>8</v>
      </c>
      <c r="M175" s="28" t="n">
        <v>6.2</v>
      </c>
      <c r="N175" s="32" t="inlineStr">
        <is>
          <t>常规备选，放在长尾分类；用低价冲量，不单独投流</t>
        </is>
      </c>
    </row>
    <row r="176">
      <c r="A176" s="25" t="n">
        <v>174</v>
      </c>
      <c r="B176" s="25" t="inlineStr">
        <is>
          <t>mericle</t>
        </is>
      </c>
      <c r="C176" s="35" t="inlineStr">
        <is>
          <t>B</t>
        </is>
      </c>
      <c r="D176" s="26" t="inlineStr">
        <is>
          <t>直发梳</t>
        </is>
      </c>
      <c r="E176" s="26" t="inlineStr">
        <is>
          <t>无线直发梳</t>
        </is>
      </c>
      <c r="F176" s="26" t="inlineStr">
        <is>
          <t>Mericle/三代无线直发梳/粉色</t>
        </is>
      </c>
      <c r="G176" s="26" t="inlineStr">
        <is>
          <t>Mericle-WXZFS-03</t>
        </is>
      </c>
      <c r="H176" s="29" t="n">
        <v>28</v>
      </c>
      <c r="I176" s="25" t="inlineStr">
        <is>
          <t>¥20–35</t>
        </is>
      </c>
      <c r="J176" s="29" t="n">
        <v>19</v>
      </c>
      <c r="K176" s="29" t="n">
        <v>49</v>
      </c>
      <c r="L176" s="37" t="n">
        <v>8</v>
      </c>
      <c r="M176" s="28" t="n">
        <v>6.2</v>
      </c>
      <c r="N176" s="32" t="inlineStr">
        <is>
          <t>常规备选，放在长尾分类；用低价冲量，不单独投流</t>
        </is>
      </c>
    </row>
    <row r="177">
      <c r="A177" s="25" t="n">
        <v>175</v>
      </c>
      <c r="B177" s="25" t="inlineStr">
        <is>
          <t>mericle</t>
        </is>
      </c>
      <c r="C177" s="35" t="inlineStr">
        <is>
          <t>B</t>
        </is>
      </c>
      <c r="D177" s="26" t="inlineStr">
        <is>
          <t>直发梳</t>
        </is>
      </c>
      <c r="E177" s="26" t="inlineStr">
        <is>
          <t>无线直发梳</t>
        </is>
      </c>
      <c r="F177" s="26" t="inlineStr">
        <is>
          <t>Mericle/三代无线直发梳/紫色</t>
        </is>
      </c>
      <c r="G177" s="26" t="inlineStr">
        <is>
          <t>Mericle-WXZFS-04</t>
        </is>
      </c>
      <c r="H177" s="29" t="n">
        <v>28</v>
      </c>
      <c r="I177" s="25" t="inlineStr">
        <is>
          <t>¥20–35</t>
        </is>
      </c>
      <c r="J177" s="29" t="n">
        <v>19</v>
      </c>
      <c r="K177" s="29" t="n">
        <v>49</v>
      </c>
      <c r="L177" s="37" t="n">
        <v>8</v>
      </c>
      <c r="M177" s="28" t="n">
        <v>6.2</v>
      </c>
      <c r="N177" s="32" t="inlineStr">
        <is>
          <t>常规备选，放在长尾分类；用低价冲量，不单独投流</t>
        </is>
      </c>
    </row>
    <row r="178">
      <c r="A178" s="25" t="n">
        <v>176</v>
      </c>
      <c r="B178" s="25" t="inlineStr">
        <is>
          <t>mericle</t>
        </is>
      </c>
      <c r="C178" s="35" t="inlineStr">
        <is>
          <t>B</t>
        </is>
      </c>
      <c r="D178" s="26" t="inlineStr">
        <is>
          <t>直发梳</t>
        </is>
      </c>
      <c r="E178" s="26" t="inlineStr">
        <is>
          <t>卷发器</t>
        </is>
      </c>
      <c r="F178" s="26" t="inlineStr">
        <is>
          <t>Mericle/卷发器紫色/JFQ-207</t>
        </is>
      </c>
      <c r="G178" s="26" t="inlineStr">
        <is>
          <t>JFQ-06</t>
        </is>
      </c>
      <c r="H178" s="29" t="n">
        <v>28</v>
      </c>
      <c r="I178" s="25" t="inlineStr">
        <is>
          <t>¥20–35</t>
        </is>
      </c>
      <c r="J178" s="29" t="n">
        <v>19</v>
      </c>
      <c r="K178" s="29" t="n">
        <v>49</v>
      </c>
      <c r="L178" s="37" t="n">
        <v>8</v>
      </c>
      <c r="M178" s="28" t="n">
        <v>6.2</v>
      </c>
      <c r="N178" s="32" t="inlineStr">
        <is>
          <t>常规备选，放在长尾分类；用低价冲量，不单独投流</t>
        </is>
      </c>
    </row>
    <row r="179">
      <c r="A179" s="25" t="n">
        <v>177</v>
      </c>
      <c r="B179" s="25" t="inlineStr">
        <is>
          <t>mericle</t>
        </is>
      </c>
      <c r="C179" s="35" t="inlineStr">
        <is>
          <t>B</t>
        </is>
      </c>
      <c r="D179" s="26" t="inlineStr">
        <is>
          <t>直发梳</t>
        </is>
      </c>
      <c r="E179" s="26" t="inlineStr">
        <is>
          <t>卷发器</t>
        </is>
      </c>
      <c r="F179" s="26" t="inlineStr">
        <is>
          <t>Mericle/卷发器黄色/JFQ-207</t>
        </is>
      </c>
      <c r="G179" s="26" t="inlineStr">
        <is>
          <t>JFQ-06</t>
        </is>
      </c>
      <c r="H179" s="29" t="n">
        <v>28</v>
      </c>
      <c r="I179" s="25" t="inlineStr">
        <is>
          <t>¥20–35</t>
        </is>
      </c>
      <c r="J179" s="29" t="n">
        <v>19</v>
      </c>
      <c r="K179" s="29" t="n">
        <v>49</v>
      </c>
      <c r="L179" s="37" t="n">
        <v>8</v>
      </c>
      <c r="M179" s="28" t="n">
        <v>6.2</v>
      </c>
      <c r="N179" s="32" t="inlineStr">
        <is>
          <t>常规备选，放在长尾分类；用低价冲量，不单独投流</t>
        </is>
      </c>
    </row>
    <row r="180">
      <c r="A180" s="25" t="n">
        <v>178</v>
      </c>
      <c r="B180" s="25" t="inlineStr">
        <is>
          <t>mericle</t>
        </is>
      </c>
      <c r="C180" s="35" t="inlineStr">
        <is>
          <t>B</t>
        </is>
      </c>
      <c r="D180" s="26" t="inlineStr">
        <is>
          <t>洗衣杯</t>
        </is>
      </c>
      <c r="E180" s="26" t="inlineStr">
        <is>
          <t>洗衣杯</t>
        </is>
      </c>
      <c r="F180" s="26" t="inlineStr">
        <is>
          <t>Mericle/洗衣杯/CRY-986</t>
        </is>
      </c>
      <c r="G180" s="26" t="inlineStr">
        <is>
          <t>XYJ-04</t>
        </is>
      </c>
      <c r="H180" s="29" t="n">
        <v>30</v>
      </c>
      <c r="I180" s="25" t="inlineStr">
        <is>
          <t>¥25–36</t>
        </is>
      </c>
      <c r="J180" s="29" t="n">
        <v>24</v>
      </c>
      <c r="K180" s="29" t="n">
        <v>53</v>
      </c>
      <c r="L180" s="37" t="n">
        <v>2.5</v>
      </c>
      <c r="M180" s="28" t="n">
        <v>6.2</v>
      </c>
      <c r="N180" s="32" t="inlineStr">
        <is>
          <t>常规备选，放在长尾分类；用低价冲量，不单独投流</t>
        </is>
      </c>
    </row>
    <row r="181">
      <c r="A181" s="25" t="n">
        <v>179</v>
      </c>
      <c r="B181" s="25" t="inlineStr">
        <is>
          <t>mericle</t>
        </is>
      </c>
      <c r="C181" s="35" t="inlineStr">
        <is>
          <t>B</t>
        </is>
      </c>
      <c r="D181" s="26" t="inlineStr">
        <is>
          <t>直发梳</t>
        </is>
      </c>
      <c r="E181" s="26" t="inlineStr">
        <is>
          <t>卷发器</t>
        </is>
      </c>
      <c r="F181" s="26" t="inlineStr">
        <is>
          <t>Mericle/直发梳/粉色/ZFS-219</t>
        </is>
      </c>
      <c r="G181" s="26" t="inlineStr">
        <is>
          <t>Mericle-ZFS-02</t>
        </is>
      </c>
      <c r="H181" s="29" t="n">
        <v>28</v>
      </c>
      <c r="I181" s="25" t="inlineStr">
        <is>
          <t>¥20–35</t>
        </is>
      </c>
      <c r="J181" s="29" t="n">
        <v>19</v>
      </c>
      <c r="K181" s="29" t="n">
        <v>49</v>
      </c>
      <c r="L181" s="37" t="n">
        <v>8</v>
      </c>
      <c r="M181" s="28" t="n">
        <v>6.2</v>
      </c>
      <c r="N181" s="32" t="inlineStr">
        <is>
          <t>常规备选，放在长尾分类；用低价冲量，不单独投流</t>
        </is>
      </c>
    </row>
    <row r="182">
      <c r="A182" s="25" t="n">
        <v>180</v>
      </c>
      <c r="B182" s="25" t="inlineStr">
        <is>
          <t>mericle</t>
        </is>
      </c>
      <c r="C182" s="35" t="inlineStr">
        <is>
          <t>B</t>
        </is>
      </c>
      <c r="D182" s="26" t="inlineStr">
        <is>
          <t>直发梳</t>
        </is>
      </c>
      <c r="E182" s="26" t="inlineStr">
        <is>
          <t>卷发器</t>
        </is>
      </c>
      <c r="F182" s="26" t="inlineStr">
        <is>
          <t>Mericle/直发梳/蓝色/ZFS-219</t>
        </is>
      </c>
      <c r="G182" s="26" t="inlineStr">
        <is>
          <t>Mericle-ZFS-03</t>
        </is>
      </c>
      <c r="H182" s="29" t="n">
        <v>28</v>
      </c>
      <c r="I182" s="25" t="inlineStr">
        <is>
          <t>¥20–35</t>
        </is>
      </c>
      <c r="J182" s="29" t="n">
        <v>19</v>
      </c>
      <c r="K182" s="29" t="n">
        <v>49</v>
      </c>
      <c r="L182" s="37" t="n">
        <v>8</v>
      </c>
      <c r="M182" s="28" t="n">
        <v>6.2</v>
      </c>
      <c r="N182" s="32" t="inlineStr">
        <is>
          <t>常规备选，放在长尾分类；用低价冲量，不单独投流</t>
        </is>
      </c>
    </row>
    <row r="183">
      <c r="A183" s="25" t="n">
        <v>181</v>
      </c>
      <c r="B183" s="25" t="inlineStr">
        <is>
          <t>mericle</t>
        </is>
      </c>
      <c r="C183" s="35" t="inlineStr">
        <is>
          <t>B</t>
        </is>
      </c>
      <c r="D183" s="26" t="inlineStr">
        <is>
          <t>直发梳</t>
        </is>
      </c>
      <c r="E183" s="26" t="inlineStr">
        <is>
          <t>迷你刘海梳</t>
        </is>
      </c>
      <c r="F183" s="26" t="inlineStr">
        <is>
          <t>美悟/刘海梳/粉色/MLK-026</t>
        </is>
      </c>
      <c r="G183" s="26" t="inlineStr">
        <is>
          <t>MYLHS-01</t>
        </is>
      </c>
      <c r="H183" s="29" t="n">
        <v>28</v>
      </c>
      <c r="I183" s="25" t="inlineStr">
        <is>
          <t>¥20–35</t>
        </is>
      </c>
      <c r="J183" s="29" t="n">
        <v>19</v>
      </c>
      <c r="K183" s="29" t="n">
        <v>49</v>
      </c>
      <c r="L183" s="37" t="n">
        <v>8</v>
      </c>
      <c r="M183" s="28" t="n">
        <v>6.2</v>
      </c>
      <c r="N183" s="32" t="inlineStr">
        <is>
          <t>常规备选，放在长尾分类；用低价冲量，不单独投流</t>
        </is>
      </c>
    </row>
    <row r="184">
      <c r="A184" s="25" t="n">
        <v>182</v>
      </c>
      <c r="B184" s="25" t="inlineStr">
        <is>
          <t>mericle</t>
        </is>
      </c>
      <c r="C184" s="35" t="inlineStr">
        <is>
          <t>B</t>
        </is>
      </c>
      <c r="D184" s="26" t="inlineStr">
        <is>
          <t>直发梳</t>
        </is>
      </c>
      <c r="E184" s="26" t="inlineStr">
        <is>
          <t>迷你刘海梳</t>
        </is>
      </c>
      <c r="F184" s="26" t="inlineStr">
        <is>
          <t>美悟/刘海梳/紫色/MLK-026</t>
        </is>
      </c>
      <c r="G184" s="26" t="inlineStr">
        <is>
          <t>MYLHS-02</t>
        </is>
      </c>
      <c r="H184" s="29" t="n">
        <v>28</v>
      </c>
      <c r="I184" s="25" t="inlineStr">
        <is>
          <t>¥20–35</t>
        </is>
      </c>
      <c r="J184" s="29" t="n">
        <v>19</v>
      </c>
      <c r="K184" s="29" t="n">
        <v>49</v>
      </c>
      <c r="L184" s="37" t="n">
        <v>8</v>
      </c>
      <c r="M184" s="28" t="n">
        <v>6.2</v>
      </c>
      <c r="N184" s="32" t="inlineStr">
        <is>
          <t>常规备选，放在长尾分类；用低价冲量，不单独投流</t>
        </is>
      </c>
    </row>
    <row r="185">
      <c r="A185" s="25" t="n">
        <v>183</v>
      </c>
      <c r="B185" s="25" t="inlineStr">
        <is>
          <t>康佳</t>
        </is>
      </c>
      <c r="C185" s="35" t="inlineStr">
        <is>
          <t>B</t>
        </is>
      </c>
      <c r="D185" s="26" t="inlineStr">
        <is>
          <t>直发梳</t>
        </is>
      </c>
      <c r="E185" s="26" t="inlineStr">
        <is>
          <t>康佳直发器</t>
        </is>
      </c>
      <c r="F185" s="26" t="inlineStr">
        <is>
          <t>康佳直发器/粉色</t>
        </is>
      </c>
      <c r="G185" s="26" t="inlineStr">
        <is>
          <t>ZFQ-03</t>
        </is>
      </c>
      <c r="H185" s="29" t="n">
        <v>28</v>
      </c>
      <c r="I185" s="25" t="inlineStr">
        <is>
          <t>¥20–35</t>
        </is>
      </c>
      <c r="J185" s="29" t="n">
        <v>19</v>
      </c>
      <c r="K185" s="29" t="n">
        <v>49</v>
      </c>
      <c r="L185" s="37" t="n">
        <v>8</v>
      </c>
      <c r="M185" s="28" t="n">
        <v>6.2</v>
      </c>
      <c r="N185" s="32" t="inlineStr">
        <is>
          <t>常规备选，放在长尾分类；用低价冲量，不单独投流</t>
        </is>
      </c>
    </row>
    <row r="186">
      <c r="A186" s="25" t="n">
        <v>184</v>
      </c>
      <c r="B186" s="25" t="inlineStr">
        <is>
          <t>康佳</t>
        </is>
      </c>
      <c r="C186" s="35" t="inlineStr">
        <is>
          <t>B</t>
        </is>
      </c>
      <c r="D186" s="26" t="inlineStr">
        <is>
          <t>直发梳</t>
        </is>
      </c>
      <c r="E186" s="26" t="inlineStr">
        <is>
          <t>康佳直发器</t>
        </is>
      </c>
      <c r="F186" s="26" t="inlineStr">
        <is>
          <t>康佳直发器/黑色</t>
        </is>
      </c>
      <c r="G186" s="26" t="inlineStr">
        <is>
          <t>ZFQ-04</t>
        </is>
      </c>
      <c r="H186" s="29" t="n">
        <v>28</v>
      </c>
      <c r="I186" s="25" t="inlineStr">
        <is>
          <t>¥20–35</t>
        </is>
      </c>
      <c r="J186" s="29" t="n">
        <v>19</v>
      </c>
      <c r="K186" s="29" t="n">
        <v>49</v>
      </c>
      <c r="L186" s="37" t="n">
        <v>8</v>
      </c>
      <c r="M186" s="28" t="n">
        <v>6.2</v>
      </c>
      <c r="N186" s="32" t="inlineStr">
        <is>
          <t>常规备选，放在长尾分类；用低价冲量，不单独投流</t>
        </is>
      </c>
    </row>
    <row r="187">
      <c r="A187" s="25" t="n">
        <v>185</v>
      </c>
      <c r="B187" s="25" t="inlineStr">
        <is>
          <t>康佳</t>
        </is>
      </c>
      <c r="C187" s="35" t="inlineStr">
        <is>
          <t>B</t>
        </is>
      </c>
      <c r="D187" s="26" t="inlineStr">
        <is>
          <t>直发梳</t>
        </is>
      </c>
      <c r="E187" s="26" t="inlineStr">
        <is>
          <t>康佳直发器</t>
        </is>
      </c>
      <c r="F187" s="26" t="inlineStr">
        <is>
          <t>康佳直发器/蓝色</t>
        </is>
      </c>
      <c r="G187" s="26" t="inlineStr">
        <is>
          <t>ZFQ-01</t>
        </is>
      </c>
      <c r="H187" s="29" t="n">
        <v>28</v>
      </c>
      <c r="I187" s="25" t="inlineStr">
        <is>
          <t>¥20–35</t>
        </is>
      </c>
      <c r="J187" s="29" t="n">
        <v>19</v>
      </c>
      <c r="K187" s="29" t="n">
        <v>49</v>
      </c>
      <c r="L187" s="37" t="n">
        <v>8</v>
      </c>
      <c r="M187" s="28" t="n">
        <v>6.2</v>
      </c>
      <c r="N187" s="32" t="inlineStr">
        <is>
          <t>常规备选，放在长尾分类；用低价冲量，不单独投流</t>
        </is>
      </c>
    </row>
    <row r="188">
      <c r="A188" s="25" t="n">
        <v>186</v>
      </c>
      <c r="B188" s="25" t="inlineStr">
        <is>
          <t>康佳</t>
        </is>
      </c>
      <c r="C188" s="35" t="inlineStr">
        <is>
          <t>B</t>
        </is>
      </c>
      <c r="D188" s="26" t="inlineStr">
        <is>
          <t>直发梳</t>
        </is>
      </c>
      <c r="E188" s="26" t="inlineStr">
        <is>
          <t>康佳直发器</t>
        </is>
      </c>
      <c r="F188" s="26" t="inlineStr">
        <is>
          <t>康佳直发器/紫色</t>
        </is>
      </c>
      <c r="G188" s="26" t="inlineStr">
        <is>
          <t>ZFQ-05</t>
        </is>
      </c>
      <c r="H188" s="29" t="n">
        <v>28</v>
      </c>
      <c r="I188" s="25" t="inlineStr">
        <is>
          <t>¥20–35</t>
        </is>
      </c>
      <c r="J188" s="29" t="n">
        <v>19</v>
      </c>
      <c r="K188" s="29" t="n">
        <v>49</v>
      </c>
      <c r="L188" s="37" t="n">
        <v>8</v>
      </c>
      <c r="M188" s="28" t="n">
        <v>6.2</v>
      </c>
      <c r="N188" s="32" t="inlineStr">
        <is>
          <t>常规备选，放在长尾分类；用低价冲量，不单独投流</t>
        </is>
      </c>
    </row>
    <row r="189">
      <c r="A189" s="25" t="n">
        <v>187</v>
      </c>
      <c r="B189" s="25" t="inlineStr">
        <is>
          <t>康佳</t>
        </is>
      </c>
      <c r="C189" s="35" t="inlineStr">
        <is>
          <t>B</t>
        </is>
      </c>
      <c r="D189" s="26" t="inlineStr">
        <is>
          <t>直发梳</t>
        </is>
      </c>
      <c r="E189" s="26" t="inlineStr">
        <is>
          <t>康佳直发器</t>
        </is>
      </c>
      <c r="F189" s="26" t="inlineStr">
        <is>
          <t>康佳直发器/白色（长款）</t>
        </is>
      </c>
      <c r="G189" s="26" t="inlineStr">
        <is>
          <t>ZFQ-06</t>
        </is>
      </c>
      <c r="H189" s="29" t="n">
        <v>28</v>
      </c>
      <c r="I189" s="25" t="inlineStr">
        <is>
          <t>¥20–35</t>
        </is>
      </c>
      <c r="J189" s="29" t="n">
        <v>19</v>
      </c>
      <c r="K189" s="29" t="n">
        <v>49</v>
      </c>
      <c r="L189" s="37" t="n">
        <v>8</v>
      </c>
      <c r="M189" s="28" t="n">
        <v>6.2</v>
      </c>
      <c r="N189" s="32" t="inlineStr">
        <is>
          <t>常规备选，放在长尾分类；用低价冲量，不单独投流</t>
        </is>
      </c>
    </row>
    <row r="190">
      <c r="A190" s="25" t="n">
        <v>188</v>
      </c>
      <c r="B190" s="25" t="inlineStr">
        <is>
          <t>康佳</t>
        </is>
      </c>
      <c r="C190" s="35" t="inlineStr">
        <is>
          <t>B</t>
        </is>
      </c>
      <c r="D190" s="26" t="inlineStr">
        <is>
          <t>直发梳</t>
        </is>
      </c>
      <c r="E190" s="26" t="inlineStr">
        <is>
          <t>康佳直发器</t>
        </is>
      </c>
      <c r="F190" s="26" t="inlineStr">
        <is>
          <t>康佳直发器/粉色（长款）</t>
        </is>
      </c>
      <c r="G190" s="26" t="inlineStr">
        <is>
          <t>ZFQ-07</t>
        </is>
      </c>
      <c r="H190" s="29" t="n">
        <v>28</v>
      </c>
      <c r="I190" s="25" t="inlineStr">
        <is>
          <t>¥20–35</t>
        </is>
      </c>
      <c r="J190" s="29" t="n">
        <v>19</v>
      </c>
      <c r="K190" s="29" t="n">
        <v>49</v>
      </c>
      <c r="L190" s="37" t="n">
        <v>8</v>
      </c>
      <c r="M190" s="28" t="n">
        <v>6.2</v>
      </c>
      <c r="N190" s="32" t="inlineStr">
        <is>
          <t>常规备选，放在长尾分类；用低价冲量，不单独投流</t>
        </is>
      </c>
    </row>
    <row r="191">
      <c r="A191" s="25" t="n">
        <v>189</v>
      </c>
      <c r="B191" s="25" t="inlineStr">
        <is>
          <t>康佳</t>
        </is>
      </c>
      <c r="C191" s="35" t="inlineStr">
        <is>
          <t>B</t>
        </is>
      </c>
      <c r="D191" s="26" t="inlineStr">
        <is>
          <t>直发梳</t>
        </is>
      </c>
      <c r="E191" s="26" t="inlineStr">
        <is>
          <t>康佳直发器</t>
        </is>
      </c>
      <c r="F191" s="26" t="inlineStr">
        <is>
          <t>康佳/直发梳/黑色</t>
        </is>
      </c>
      <c r="G191" s="26" t="inlineStr">
        <is>
          <t>KJ-ZFS-HS</t>
        </is>
      </c>
      <c r="H191" s="29" t="n">
        <v>28</v>
      </c>
      <c r="I191" s="25" t="inlineStr">
        <is>
          <t>¥20–35</t>
        </is>
      </c>
      <c r="J191" s="29" t="n">
        <v>19</v>
      </c>
      <c r="K191" s="29" t="n">
        <v>49</v>
      </c>
      <c r="L191" s="37" t="n">
        <v>8</v>
      </c>
      <c r="M191" s="28" t="n">
        <v>6.2</v>
      </c>
      <c r="N191" s="32" t="inlineStr">
        <is>
          <t>常规备选，放在长尾分类；用低价冲量，不单独投流</t>
        </is>
      </c>
    </row>
    <row r="192">
      <c r="A192" s="25" t="n">
        <v>190</v>
      </c>
      <c r="B192" s="25" t="inlineStr">
        <is>
          <t>康佳</t>
        </is>
      </c>
      <c r="C192" s="35" t="inlineStr">
        <is>
          <t>B</t>
        </is>
      </c>
      <c r="D192" s="26" t="inlineStr">
        <is>
          <t>直发梳</t>
        </is>
      </c>
      <c r="E192" s="26" t="inlineStr">
        <is>
          <t>康佳直发器</t>
        </is>
      </c>
      <c r="F192" s="26" t="inlineStr">
        <is>
          <t>康佳/直发梳/紫色</t>
        </is>
      </c>
      <c r="G192" s="26" t="inlineStr">
        <is>
          <t>KJ-ZFS-ZS</t>
        </is>
      </c>
      <c r="H192" s="29" t="n">
        <v>28</v>
      </c>
      <c r="I192" s="25" t="inlineStr">
        <is>
          <t>¥20–35</t>
        </is>
      </c>
      <c r="J192" s="29" t="n">
        <v>19</v>
      </c>
      <c r="K192" s="29" t="n">
        <v>49</v>
      </c>
      <c r="L192" s="37" t="n">
        <v>8</v>
      </c>
      <c r="M192" s="28" t="n">
        <v>6.2</v>
      </c>
      <c r="N192" s="32" t="inlineStr">
        <is>
          <t>常规备选，放在长尾分类；用低价冲量，不单独投流</t>
        </is>
      </c>
    </row>
    <row r="193">
      <c r="A193" s="25" t="n">
        <v>191</v>
      </c>
      <c r="B193" s="25" t="inlineStr">
        <is>
          <t>美悟</t>
        </is>
      </c>
      <c r="C193" s="35" t="inlineStr">
        <is>
          <t>B</t>
        </is>
      </c>
      <c r="D193" s="26" t="inlineStr">
        <is>
          <t>直发梳</t>
        </is>
      </c>
      <c r="E193" s="26" t="inlineStr">
        <is>
          <t>直发梳/卷发棒</t>
        </is>
      </c>
      <c r="F193" s="26" t="inlineStr">
        <is>
          <t>美悟/负离子直发梳/紫色</t>
        </is>
      </c>
      <c r="G193" s="26" t="inlineStr">
        <is>
          <t>MY/ZFS/Z</t>
        </is>
      </c>
      <c r="H193" s="29" t="n">
        <v>28</v>
      </c>
      <c r="I193" s="25" t="inlineStr">
        <is>
          <t>¥20–35</t>
        </is>
      </c>
      <c r="J193" s="29" t="n">
        <v>19</v>
      </c>
      <c r="K193" s="29" t="n">
        <v>49</v>
      </c>
      <c r="L193" s="37" t="n">
        <v>8</v>
      </c>
      <c r="M193" s="28" t="n">
        <v>6.2</v>
      </c>
      <c r="N193" s="32" t="inlineStr">
        <is>
          <t>常规备选，放在长尾分类；用低价冲量，不单独投流</t>
        </is>
      </c>
    </row>
    <row r="194">
      <c r="A194" s="25" t="n">
        <v>192</v>
      </c>
      <c r="B194" s="25" t="inlineStr">
        <is>
          <t>通货</t>
        </is>
      </c>
      <c r="C194" s="35" t="inlineStr">
        <is>
          <t>B</t>
        </is>
      </c>
      <c r="D194" s="26" t="inlineStr">
        <is>
          <t>直发梳</t>
        </is>
      </c>
      <c r="E194" s="26" t="inlineStr">
        <is>
          <t>直发梳</t>
        </is>
      </c>
      <c r="F194" s="26" t="inlineStr">
        <is>
          <t>直发梳/紫色/JN-106</t>
        </is>
      </c>
      <c r="G194" s="26" t="inlineStr">
        <is>
          <t>ZFS-01</t>
        </is>
      </c>
      <c r="H194" s="29" t="n">
        <v>28</v>
      </c>
      <c r="I194" s="25" t="inlineStr">
        <is>
          <t>¥20–35</t>
        </is>
      </c>
      <c r="J194" s="29" t="n">
        <v>19</v>
      </c>
      <c r="K194" s="29" t="n">
        <v>49</v>
      </c>
      <c r="L194" s="37" t="n">
        <v>8</v>
      </c>
      <c r="M194" s="28" t="n">
        <v>6.2</v>
      </c>
      <c r="N194" s="32" t="inlineStr">
        <is>
          <t>常规备选，放在长尾分类；用低价冲量，不单独投流</t>
        </is>
      </c>
    </row>
    <row r="195">
      <c r="A195" s="25" t="n">
        <v>193</v>
      </c>
      <c r="B195" s="25" t="inlineStr">
        <is>
          <t>mericle</t>
        </is>
      </c>
      <c r="C195" s="35" t="inlineStr">
        <is>
          <t>B</t>
        </is>
      </c>
      <c r="D195" s="26" t="inlineStr">
        <is>
          <t>你比我猜训练机</t>
        </is>
      </c>
      <c r="E195" s="26" t="inlineStr">
        <is>
          <t>你比我猜训练机</t>
        </is>
      </c>
      <c r="F195" s="26" t="inlineStr">
        <is>
          <t>Mericle/你比我猜训练机</t>
        </is>
      </c>
      <c r="G195" s="26" t="inlineStr">
        <is>
          <t>Mericle-XLJ-01</t>
        </is>
      </c>
      <c r="H195" s="29" t="n">
        <v>5</v>
      </c>
      <c r="I195" s="25" t="inlineStr">
        <is>
          <t>¥5–5</t>
        </is>
      </c>
      <c r="J195" s="29" t="n">
        <v>5</v>
      </c>
      <c r="K195" s="29" t="n">
        <v>16</v>
      </c>
      <c r="L195" s="37" t="n">
        <v>10</v>
      </c>
      <c r="M195" s="28" t="n">
        <v>6.19</v>
      </c>
      <c r="N195" s="32" t="inlineStr">
        <is>
          <t>常规备选，放在长尾分类；用低价冲量，不单独投流</t>
        </is>
      </c>
    </row>
    <row r="196">
      <c r="A196" s="25" t="n">
        <v>194</v>
      </c>
      <c r="B196" s="25" t="inlineStr">
        <is>
          <t>mericle</t>
        </is>
      </c>
      <c r="C196" s="35" t="inlineStr">
        <is>
          <t>B</t>
        </is>
      </c>
      <c r="D196" s="26" t="inlineStr">
        <is>
          <t>多功能沐浴刷</t>
        </is>
      </c>
      <c r="E196" s="26" t="inlineStr">
        <is>
          <t>多功能电动沐浴刷</t>
        </is>
      </c>
      <c r="F196" s="26" t="inlineStr">
        <is>
          <t>Mericle/多功能电动沐浴刷/XZS-389</t>
        </is>
      </c>
      <c r="G196" s="26" t="inlineStr">
        <is>
          <t>MYS-01</t>
        </is>
      </c>
      <c r="H196" s="29" t="n">
        <v>56</v>
      </c>
      <c r="I196" s="25" t="inlineStr">
        <is>
          <t>¥50–63</t>
        </is>
      </c>
      <c r="J196" s="29" t="n">
        <v>48</v>
      </c>
      <c r="K196" s="29" t="n">
        <v>78</v>
      </c>
      <c r="L196" s="37" t="n">
        <v>10</v>
      </c>
      <c r="M196" s="28" t="n">
        <v>6.18</v>
      </c>
      <c r="N196" s="32" t="inlineStr">
        <is>
          <t>常规备选，放在长尾分类；用低价冲量，不单独投流</t>
        </is>
      </c>
    </row>
    <row r="197">
      <c r="A197" s="25" t="n">
        <v>195</v>
      </c>
      <c r="B197" s="25" t="inlineStr">
        <is>
          <t>mericle</t>
        </is>
      </c>
      <c r="C197" s="35" t="inlineStr">
        <is>
          <t>B</t>
        </is>
      </c>
      <c r="D197" s="26" t="inlineStr">
        <is>
          <t>筋膜环</t>
        </is>
      </c>
      <c r="E197" s="26" t="inlineStr">
        <is>
          <t>迷你筋膜环</t>
        </is>
      </c>
      <c r="F197" s="26" t="inlineStr">
        <is>
          <t>Mericle/迷你筋膜环/粉色</t>
        </is>
      </c>
      <c r="G197" s="26" t="inlineStr">
        <is>
          <t>Mericle-JMH-F</t>
        </is>
      </c>
      <c r="H197" s="29" t="n">
        <v>24</v>
      </c>
      <c r="I197" s="25" t="inlineStr">
        <is>
          <t>¥20–28</t>
        </is>
      </c>
      <c r="J197" s="29" t="n">
        <v>19</v>
      </c>
      <c r="K197" s="29" t="n">
        <v>49</v>
      </c>
      <c r="L197" s="37" t="n">
        <v>4</v>
      </c>
      <c r="M197" s="28" t="n">
        <v>6.16</v>
      </c>
      <c r="N197" s="32" t="inlineStr">
        <is>
          <t>常规备选，放在长尾分类；用低价冲量，不单独投流</t>
        </is>
      </c>
    </row>
    <row r="198">
      <c r="A198" s="25" t="n">
        <v>196</v>
      </c>
      <c r="B198" s="25" t="inlineStr">
        <is>
          <t>mericle</t>
        </is>
      </c>
      <c r="C198" s="35" t="inlineStr">
        <is>
          <t>B</t>
        </is>
      </c>
      <c r="D198" s="26" t="inlineStr">
        <is>
          <t>筋膜环</t>
        </is>
      </c>
      <c r="E198" s="26" t="inlineStr">
        <is>
          <t>迷你筋膜环</t>
        </is>
      </c>
      <c r="F198" s="26" t="inlineStr">
        <is>
          <t>Mericle/迷你筋膜环/紫色</t>
        </is>
      </c>
      <c r="G198" s="26" t="inlineStr">
        <is>
          <t>Mericle-JMH-Z</t>
        </is>
      </c>
      <c r="H198" s="29" t="n">
        <v>24</v>
      </c>
      <c r="I198" s="25" t="inlineStr">
        <is>
          <t>¥20–28</t>
        </is>
      </c>
      <c r="J198" s="29" t="n">
        <v>19</v>
      </c>
      <c r="K198" s="29" t="n">
        <v>49</v>
      </c>
      <c r="L198" s="37" t="n">
        <v>4</v>
      </c>
      <c r="M198" s="28" t="n">
        <v>6.16</v>
      </c>
      <c r="N198" s="32" t="inlineStr">
        <is>
          <t>常规备选，放在长尾分类；用低价冲量，不单独投流</t>
        </is>
      </c>
    </row>
    <row r="199">
      <c r="A199" s="25" t="n">
        <v>197</v>
      </c>
      <c r="B199" s="25" t="inlineStr">
        <is>
          <t>mericle</t>
        </is>
      </c>
      <c r="C199" s="35" t="inlineStr">
        <is>
          <t>B</t>
        </is>
      </c>
      <c r="D199" s="26" t="inlineStr">
        <is>
          <t>筋膜环</t>
        </is>
      </c>
      <c r="E199" s="26" t="inlineStr">
        <is>
          <t>筋膜环</t>
        </is>
      </c>
      <c r="F199" s="26" t="inlineStr">
        <is>
          <t>Mericle/筋膜环/紫色/MLK-802</t>
        </is>
      </c>
      <c r="G199" s="26" t="inlineStr">
        <is>
          <t>Mericle-JMH-02</t>
        </is>
      </c>
      <c r="H199" s="29" t="n">
        <v>24</v>
      </c>
      <c r="I199" s="25" t="inlineStr">
        <is>
          <t>¥20–28</t>
        </is>
      </c>
      <c r="J199" s="29" t="n">
        <v>19</v>
      </c>
      <c r="K199" s="29" t="n">
        <v>49</v>
      </c>
      <c r="L199" s="37" t="n">
        <v>4</v>
      </c>
      <c r="M199" s="28" t="n">
        <v>6.16</v>
      </c>
      <c r="N199" s="32" t="inlineStr">
        <is>
          <t>常规备选，放在长尾分类；用低价冲量，不单独投流</t>
        </is>
      </c>
    </row>
    <row r="200">
      <c r="A200" s="25" t="n">
        <v>198</v>
      </c>
      <c r="B200" s="25" t="inlineStr">
        <is>
          <t>mericle</t>
        </is>
      </c>
      <c r="C200" s="35" t="inlineStr">
        <is>
          <t>B</t>
        </is>
      </c>
      <c r="D200" s="26" t="inlineStr">
        <is>
          <t>筋膜环</t>
        </is>
      </c>
      <c r="E200" s="26" t="inlineStr">
        <is>
          <t>筋膜环</t>
        </is>
      </c>
      <c r="F200" s="26" t="inlineStr">
        <is>
          <t>Mericle/筋膜环/粉色/MLK-802</t>
        </is>
      </c>
      <c r="G200" s="26" t="inlineStr">
        <is>
          <t>Mericle-JMH-01</t>
        </is>
      </c>
      <c r="H200" s="29" t="n">
        <v>24</v>
      </c>
      <c r="I200" s="25" t="inlineStr">
        <is>
          <t>¥20–28</t>
        </is>
      </c>
      <c r="J200" s="29" t="n">
        <v>19</v>
      </c>
      <c r="K200" s="29" t="n">
        <v>49</v>
      </c>
      <c r="L200" s="37" t="n">
        <v>4</v>
      </c>
      <c r="M200" s="28" t="n">
        <v>6.16</v>
      </c>
      <c r="N200" s="32" t="inlineStr">
        <is>
          <t>常规备选，放在长尾分类；用低价冲量，不单独投流</t>
        </is>
      </c>
    </row>
    <row r="201">
      <c r="A201" s="25" t="n">
        <v>199</v>
      </c>
      <c r="B201" s="25" t="inlineStr">
        <is>
          <t>mericle</t>
        </is>
      </c>
      <c r="C201" s="35" t="inlineStr">
        <is>
          <t>B</t>
        </is>
      </c>
      <c r="D201" s="26" t="inlineStr">
        <is>
          <t>筋膜环</t>
        </is>
      </c>
      <c r="E201" s="26" t="inlineStr">
        <is>
          <t>筋膜环</t>
        </is>
      </c>
      <c r="F201" s="26" t="inlineStr">
        <is>
          <t>Mericle/筋膜环/紫色/UP-2526</t>
        </is>
      </c>
      <c r="G201" s="26" t="inlineStr">
        <is>
          <t>Mericle-JMH-03</t>
        </is>
      </c>
      <c r="H201" s="29" t="n">
        <v>24</v>
      </c>
      <c r="I201" s="25" t="inlineStr">
        <is>
          <t>¥20–28</t>
        </is>
      </c>
      <c r="J201" s="29" t="n">
        <v>19</v>
      </c>
      <c r="K201" s="29" t="n">
        <v>49</v>
      </c>
      <c r="L201" s="37" t="n">
        <v>4</v>
      </c>
      <c r="M201" s="28" t="n">
        <v>6.16</v>
      </c>
      <c r="N201" s="32" t="inlineStr">
        <is>
          <t>常规备选，放在长尾分类；用低价冲量，不单独投流</t>
        </is>
      </c>
    </row>
    <row r="202">
      <c r="A202" s="25" t="n">
        <v>200</v>
      </c>
      <c r="B202" s="25" t="inlineStr">
        <is>
          <t>mericle</t>
        </is>
      </c>
      <c r="C202" s="35" t="inlineStr">
        <is>
          <t>B</t>
        </is>
      </c>
      <c r="D202" s="26" t="inlineStr">
        <is>
          <t>筋膜环</t>
        </is>
      </c>
      <c r="E202" s="26" t="inlineStr">
        <is>
          <t>筋膜环</t>
        </is>
      </c>
      <c r="F202" s="26" t="inlineStr">
        <is>
          <t>Mericle/筋膜环/白色/UP-2526</t>
        </is>
      </c>
      <c r="G202" s="26" t="inlineStr">
        <is>
          <t>Mericle-JMH-04</t>
        </is>
      </c>
      <c r="H202" s="29" t="n">
        <v>24</v>
      </c>
      <c r="I202" s="25" t="inlineStr">
        <is>
          <t>¥20–28</t>
        </is>
      </c>
      <c r="J202" s="29" t="n">
        <v>19</v>
      </c>
      <c r="K202" s="29" t="n">
        <v>49</v>
      </c>
      <c r="L202" s="37" t="n">
        <v>4</v>
      </c>
      <c r="M202" s="28" t="n">
        <v>6.16</v>
      </c>
      <c r="N202" s="32" t="inlineStr">
        <is>
          <t>常规备选，放在长尾分类；用低价冲量，不单独投流</t>
        </is>
      </c>
    </row>
    <row r="203">
      <c r="A203" s="25" t="n">
        <v>201</v>
      </c>
      <c r="B203" s="25" t="inlineStr">
        <is>
          <t>mericle</t>
        </is>
      </c>
      <c r="C203" s="35" t="inlineStr">
        <is>
          <t>B</t>
        </is>
      </c>
      <c r="D203" s="26" t="inlineStr">
        <is>
          <t>筋膜环</t>
        </is>
      </c>
      <c r="E203" s="26" t="inlineStr">
        <is>
          <t>筋膜环</t>
        </is>
      </c>
      <c r="F203" s="26" t="inlineStr">
        <is>
          <t>Mericle/筋膜环/粉色/MLK-803</t>
        </is>
      </c>
      <c r="G203" s="26" t="inlineStr">
        <is>
          <t>JMH-08</t>
        </is>
      </c>
      <c r="H203" s="29" t="n">
        <v>24</v>
      </c>
      <c r="I203" s="25" t="inlineStr">
        <is>
          <t>¥20–28</t>
        </is>
      </c>
      <c r="J203" s="29" t="n">
        <v>19</v>
      </c>
      <c r="K203" s="29" t="n">
        <v>49</v>
      </c>
      <c r="L203" s="37" t="n">
        <v>4</v>
      </c>
      <c r="M203" s="28" t="n">
        <v>6.16</v>
      </c>
      <c r="N203" s="32" t="inlineStr">
        <is>
          <t>常规备选，放在长尾分类；用低价冲量，不单独投流</t>
        </is>
      </c>
    </row>
    <row r="204">
      <c r="A204" s="25" t="n">
        <v>202</v>
      </c>
      <c r="B204" s="25" t="inlineStr">
        <is>
          <t>mericle</t>
        </is>
      </c>
      <c r="C204" s="35" t="inlineStr">
        <is>
          <t>B</t>
        </is>
      </c>
      <c r="D204" s="26" t="inlineStr">
        <is>
          <t>筋膜环</t>
        </is>
      </c>
      <c r="E204" s="26" t="inlineStr">
        <is>
          <t>筋膜环</t>
        </is>
      </c>
      <c r="F204" s="26" t="inlineStr">
        <is>
          <t>Mericle/筋膜环/紫色/MLK-803</t>
        </is>
      </c>
      <c r="G204" s="26" t="inlineStr">
        <is>
          <t>JMH-09</t>
        </is>
      </c>
      <c r="H204" s="29" t="n">
        <v>24</v>
      </c>
      <c r="I204" s="25" t="inlineStr">
        <is>
          <t>¥20–28</t>
        </is>
      </c>
      <c r="J204" s="29" t="n">
        <v>19</v>
      </c>
      <c r="K204" s="29" t="n">
        <v>49</v>
      </c>
      <c r="L204" s="37" t="n">
        <v>4</v>
      </c>
      <c r="M204" s="28" t="n">
        <v>6.16</v>
      </c>
      <c r="N204" s="32" t="inlineStr">
        <is>
          <t>常规备选，放在长尾分类；用低价冲量，不单独投流</t>
        </is>
      </c>
    </row>
    <row r="205">
      <c r="A205" s="25" t="n">
        <v>203</v>
      </c>
      <c r="B205" s="25" t="inlineStr">
        <is>
          <t>康佳</t>
        </is>
      </c>
      <c r="C205" s="35" t="inlineStr">
        <is>
          <t>B</t>
        </is>
      </c>
      <c r="D205" s="26" t="inlineStr">
        <is>
          <t>筋膜环</t>
        </is>
      </c>
      <c r="E205" s="26" t="inlineStr">
        <is>
          <t>KAMQ-3082-T</t>
        </is>
      </c>
      <c r="F205" s="26" t="inlineStr">
        <is>
          <t>康佳/筋膜环/白色/KAMQ-3082-T</t>
        </is>
      </c>
      <c r="G205" s="26" t="inlineStr">
        <is>
          <t>JMH-05</t>
        </is>
      </c>
      <c r="H205" s="29" t="n">
        <v>24</v>
      </c>
      <c r="I205" s="25" t="inlineStr">
        <is>
          <t>¥20–28</t>
        </is>
      </c>
      <c r="J205" s="29" t="n">
        <v>19</v>
      </c>
      <c r="K205" s="29" t="n">
        <v>49</v>
      </c>
      <c r="L205" s="37" t="n">
        <v>4</v>
      </c>
      <c r="M205" s="28" t="n">
        <v>6.16</v>
      </c>
      <c r="N205" s="32" t="inlineStr">
        <is>
          <t>常规备选，放在长尾分类；用低价冲量，不单独投流</t>
        </is>
      </c>
    </row>
    <row r="206">
      <c r="A206" s="25" t="n">
        <v>204</v>
      </c>
      <c r="B206" s="25" t="inlineStr">
        <is>
          <t>康佳</t>
        </is>
      </c>
      <c r="C206" s="35" t="inlineStr">
        <is>
          <t>B</t>
        </is>
      </c>
      <c r="D206" s="26" t="inlineStr">
        <is>
          <t>筋膜环</t>
        </is>
      </c>
      <c r="E206" s="26" t="inlineStr">
        <is>
          <t>KAMQ-3082-T</t>
        </is>
      </c>
      <c r="F206" s="26" t="inlineStr">
        <is>
          <t>康佳/筋膜环/紫色/KAMQ-3082-T</t>
        </is>
      </c>
      <c r="G206" s="26" t="inlineStr">
        <is>
          <t>JMH-06</t>
        </is>
      </c>
      <c r="H206" s="29" t="n">
        <v>24</v>
      </c>
      <c r="I206" s="25" t="inlineStr">
        <is>
          <t>¥20–28</t>
        </is>
      </c>
      <c r="J206" s="29" t="n">
        <v>19</v>
      </c>
      <c r="K206" s="29" t="n">
        <v>49</v>
      </c>
      <c r="L206" s="37" t="n">
        <v>4</v>
      </c>
      <c r="M206" s="28" t="n">
        <v>6.16</v>
      </c>
      <c r="N206" s="32" t="inlineStr">
        <is>
          <t>常规备选，放在长尾分类；用低价冲量，不单独投流</t>
        </is>
      </c>
    </row>
    <row r="207">
      <c r="A207" s="25" t="n">
        <v>205</v>
      </c>
      <c r="B207" s="25" t="inlineStr">
        <is>
          <t>康佳</t>
        </is>
      </c>
      <c r="C207" s="35" t="inlineStr">
        <is>
          <t>B</t>
        </is>
      </c>
      <c r="D207" s="26" t="inlineStr">
        <is>
          <t>筋膜环</t>
        </is>
      </c>
      <c r="E207" s="26" t="inlineStr">
        <is>
          <t>KAMQ-3082-T</t>
        </is>
      </c>
      <c r="F207" s="26" t="inlineStr">
        <is>
          <t>康佳/筋膜环/黑色/KAMQ-3082-T</t>
        </is>
      </c>
      <c r="G207" s="26" t="inlineStr">
        <is>
          <t>JMH-07</t>
        </is>
      </c>
      <c r="H207" s="29" t="n">
        <v>24</v>
      </c>
      <c r="I207" s="25" t="inlineStr">
        <is>
          <t>¥20–28</t>
        </is>
      </c>
      <c r="J207" s="29" t="n">
        <v>19</v>
      </c>
      <c r="K207" s="29" t="n">
        <v>49</v>
      </c>
      <c r="L207" s="37" t="n">
        <v>4</v>
      </c>
      <c r="M207" s="28" t="n">
        <v>6.16</v>
      </c>
      <c r="N207" s="32" t="inlineStr">
        <is>
          <t>常规备选，放在长尾分类；用低价冲量，不单独投流</t>
        </is>
      </c>
    </row>
    <row r="208">
      <c r="A208" s="25" t="n">
        <v>206</v>
      </c>
      <c r="B208" s="25" t="inlineStr">
        <is>
          <t>康佳</t>
        </is>
      </c>
      <c r="C208" s="35" t="inlineStr">
        <is>
          <t>B</t>
        </is>
      </c>
      <c r="D208" s="26" t="inlineStr">
        <is>
          <t>筋膜环</t>
        </is>
      </c>
      <c r="E208" s="26" t="inlineStr">
        <is>
          <t>按摩器</t>
        </is>
      </c>
      <c r="F208" s="26" t="inlineStr">
        <is>
          <t>康佳/筋膜环/紫色/KAMQ56-0510</t>
        </is>
      </c>
      <c r="G208" s="26" t="inlineStr">
        <is>
          <t>JMH-11</t>
        </is>
      </c>
      <c r="H208" s="29" t="n">
        <v>24</v>
      </c>
      <c r="I208" s="25" t="inlineStr">
        <is>
          <t>¥20–28</t>
        </is>
      </c>
      <c r="J208" s="29" t="n">
        <v>19</v>
      </c>
      <c r="K208" s="29" t="n">
        <v>49</v>
      </c>
      <c r="L208" s="37" t="n">
        <v>4</v>
      </c>
      <c r="M208" s="28" t="n">
        <v>6.16</v>
      </c>
      <c r="N208" s="32" t="inlineStr">
        <is>
          <t>常规备选，放在长尾分类；用低价冲量，不单独投流</t>
        </is>
      </c>
    </row>
    <row r="209">
      <c r="A209" s="25" t="n">
        <v>207</v>
      </c>
      <c r="B209" s="25" t="inlineStr">
        <is>
          <t>mericle</t>
        </is>
      </c>
      <c r="C209" s="35" t="inlineStr">
        <is>
          <t>B</t>
        </is>
      </c>
      <c r="D209" s="26" t="inlineStr">
        <is>
          <t>便携迷你剃须刀</t>
        </is>
      </c>
      <c r="E209" s="26" t="inlineStr">
        <is>
          <t>mericle便携式剃须刀</t>
        </is>
      </c>
      <c r="F209" s="26" t="inlineStr">
        <is>
          <t>M 剃须刀/黑色001</t>
        </is>
      </c>
      <c r="G209" s="26" t="inlineStr">
        <is>
          <t>TXD-06</t>
        </is>
      </c>
      <c r="H209" s="29" t="n">
        <v>28</v>
      </c>
      <c r="I209" s="25" t="inlineStr">
        <is>
          <t>¥24–31</t>
        </is>
      </c>
      <c r="J209" s="29" t="n">
        <v>23</v>
      </c>
      <c r="K209" s="29" t="n">
        <v>39</v>
      </c>
      <c r="L209" s="37" t="n">
        <v>3</v>
      </c>
      <c r="M209" s="28" t="n">
        <v>6.14</v>
      </c>
      <c r="N209" s="32" t="inlineStr">
        <is>
          <t>常规备选，放在长尾分类；用低价冲量，不单独投流</t>
        </is>
      </c>
    </row>
    <row r="210">
      <c r="A210" s="25" t="n">
        <v>208</v>
      </c>
      <c r="B210" s="25" t="inlineStr">
        <is>
          <t>mericle</t>
        </is>
      </c>
      <c r="C210" s="35" t="inlineStr">
        <is>
          <t>B</t>
        </is>
      </c>
      <c r="D210" s="26" t="inlineStr">
        <is>
          <t>便携迷你剃须刀</t>
        </is>
      </c>
      <c r="E210" s="26" t="inlineStr">
        <is>
          <t>mericle便携式剃须刀</t>
        </is>
      </c>
      <c r="F210" s="26" t="inlineStr">
        <is>
          <t>M 天地盒剃须刀</t>
        </is>
      </c>
      <c r="G210" s="26" t="inlineStr">
        <is>
          <t>TXD-13</t>
        </is>
      </c>
      <c r="H210" s="29" t="n">
        <v>28</v>
      </c>
      <c r="I210" s="25" t="inlineStr">
        <is>
          <t>¥24–31</t>
        </is>
      </c>
      <c r="J210" s="29" t="n">
        <v>23</v>
      </c>
      <c r="K210" s="29" t="n">
        <v>39</v>
      </c>
      <c r="L210" s="37" t="n">
        <v>3</v>
      </c>
      <c r="M210" s="28" t="n">
        <v>6.14</v>
      </c>
      <c r="N210" s="32" t="inlineStr">
        <is>
          <t>常规备选，放在长尾分类；用低价冲量，不单独投流</t>
        </is>
      </c>
    </row>
    <row r="211">
      <c r="A211" s="25" t="n">
        <v>209</v>
      </c>
      <c r="B211" s="25" t="inlineStr">
        <is>
          <t>mericle</t>
        </is>
      </c>
      <c r="C211" s="35" t="inlineStr">
        <is>
          <t>B</t>
        </is>
      </c>
      <c r="D211" s="26" t="inlineStr">
        <is>
          <t>便携迷你剃须刀</t>
        </is>
      </c>
      <c r="E211" s="26" t="inlineStr">
        <is>
          <t>mericle便携式剃须刀</t>
        </is>
      </c>
      <c r="F211" s="26" t="inlineStr">
        <is>
          <t>M天地盒防水剃须刀</t>
        </is>
      </c>
      <c r="G211" s="26" t="inlineStr">
        <is>
          <t>TXD-27</t>
        </is>
      </c>
      <c r="H211" s="29" t="n">
        <v>28</v>
      </c>
      <c r="I211" s="25" t="inlineStr">
        <is>
          <t>¥24–31</t>
        </is>
      </c>
      <c r="J211" s="29" t="n">
        <v>23</v>
      </c>
      <c r="K211" s="29" t="n">
        <v>39</v>
      </c>
      <c r="L211" s="37" t="n">
        <v>3</v>
      </c>
      <c r="M211" s="28" t="n">
        <v>6.14</v>
      </c>
      <c r="N211" s="32" t="inlineStr">
        <is>
          <t>常规备选，放在长尾分类；用低价冲量，不单独投流</t>
        </is>
      </c>
    </row>
    <row r="212">
      <c r="A212" s="25" t="n">
        <v>210</v>
      </c>
      <c r="B212" s="25" t="inlineStr">
        <is>
          <t>mericle</t>
        </is>
      </c>
      <c r="C212" s="35" t="inlineStr">
        <is>
          <t>B</t>
        </is>
      </c>
      <c r="D212" s="26" t="inlineStr">
        <is>
          <t>便携迷你剃须刀</t>
        </is>
      </c>
      <c r="E212" s="26" t="inlineStr">
        <is>
          <t>mericle便携式剃须刀</t>
        </is>
      </c>
      <c r="F212" s="26" t="inlineStr">
        <is>
          <t>M/迷你剃须刀/二代/渐变蓝</t>
        </is>
      </c>
      <c r="G212" s="26" t="inlineStr">
        <is>
          <t>TXD-36</t>
        </is>
      </c>
      <c r="H212" s="29" t="n">
        <v>28</v>
      </c>
      <c r="I212" s="25" t="inlineStr">
        <is>
          <t>¥24–31</t>
        </is>
      </c>
      <c r="J212" s="29" t="n">
        <v>23</v>
      </c>
      <c r="K212" s="29" t="n">
        <v>39</v>
      </c>
      <c r="L212" s="37" t="n">
        <v>3</v>
      </c>
      <c r="M212" s="28" t="n">
        <v>6.14</v>
      </c>
      <c r="N212" s="32" t="inlineStr">
        <is>
          <t>常规备选，放在长尾分类；用低价冲量，不单独投流</t>
        </is>
      </c>
    </row>
    <row r="213">
      <c r="A213" s="25" t="n">
        <v>211</v>
      </c>
      <c r="B213" s="25" t="inlineStr">
        <is>
          <t>mericle</t>
        </is>
      </c>
      <c r="C213" s="35" t="inlineStr">
        <is>
          <t>B</t>
        </is>
      </c>
      <c r="D213" s="26" t="inlineStr">
        <is>
          <t>便携迷你剃须刀</t>
        </is>
      </c>
      <c r="E213" s="26" t="inlineStr">
        <is>
          <t>剃须刀</t>
        </is>
      </c>
      <c r="F213" s="26" t="inlineStr">
        <is>
          <t>Mericle/透明双头剃须刀/黑</t>
        </is>
      </c>
      <c r="G213" s="26" t="inlineStr">
        <is>
          <t>TXD-67</t>
        </is>
      </c>
      <c r="H213" s="29" t="n">
        <v>28</v>
      </c>
      <c r="I213" s="25" t="inlineStr">
        <is>
          <t>¥24–31</t>
        </is>
      </c>
      <c r="J213" s="29" t="n">
        <v>23</v>
      </c>
      <c r="K213" s="29" t="n">
        <v>39</v>
      </c>
      <c r="L213" s="37" t="n">
        <v>3</v>
      </c>
      <c r="M213" s="28" t="n">
        <v>6.14</v>
      </c>
      <c r="N213" s="32" t="inlineStr">
        <is>
          <t>常规备选，放在长尾分类；用低价冲量，不单独投流</t>
        </is>
      </c>
    </row>
    <row r="214">
      <c r="A214" s="25" t="n">
        <v>212</v>
      </c>
      <c r="B214" s="25" t="inlineStr">
        <is>
          <t>mericle</t>
        </is>
      </c>
      <c r="C214" s="35" t="inlineStr">
        <is>
          <t>B</t>
        </is>
      </c>
      <c r="D214" s="26" t="inlineStr">
        <is>
          <t>便携迷你剃须刀</t>
        </is>
      </c>
      <c r="E214" s="26" t="inlineStr">
        <is>
          <t>剃须刀</t>
        </is>
      </c>
      <c r="F214" s="26" t="inlineStr">
        <is>
          <t>Mericle/透明双头剃须刀/蓝</t>
        </is>
      </c>
      <c r="G214" s="26" t="inlineStr">
        <is>
          <t>TXD-68</t>
        </is>
      </c>
      <c r="H214" s="29" t="n">
        <v>28</v>
      </c>
      <c r="I214" s="25" t="inlineStr">
        <is>
          <t>¥24–31</t>
        </is>
      </c>
      <c r="J214" s="29" t="n">
        <v>23</v>
      </c>
      <c r="K214" s="29" t="n">
        <v>39</v>
      </c>
      <c r="L214" s="37" t="n">
        <v>3</v>
      </c>
      <c r="M214" s="28" t="n">
        <v>6.14</v>
      </c>
      <c r="N214" s="32" t="inlineStr">
        <is>
          <t>常规备选，放在长尾分类；用低价冲量，不单独投流</t>
        </is>
      </c>
    </row>
    <row r="215">
      <c r="A215" s="25" t="n">
        <v>213</v>
      </c>
      <c r="B215" s="25" t="inlineStr">
        <is>
          <t>mericle</t>
        </is>
      </c>
      <c r="C215" s="35" t="inlineStr">
        <is>
          <t>B</t>
        </is>
      </c>
      <c r="D215" s="26" t="inlineStr">
        <is>
          <t>便携迷你剃须刀</t>
        </is>
      </c>
      <c r="E215" s="26" t="inlineStr">
        <is>
          <t>便携式剃须刀</t>
        </is>
      </c>
      <c r="F215" s="26" t="inlineStr">
        <is>
          <t>Mericle/行者双头剃须刀/橙色</t>
        </is>
      </c>
      <c r="G215" s="26" t="inlineStr">
        <is>
          <t>TXD-70</t>
        </is>
      </c>
      <c r="H215" s="29" t="n">
        <v>28</v>
      </c>
      <c r="I215" s="25" t="inlineStr">
        <is>
          <t>¥24–31</t>
        </is>
      </c>
      <c r="J215" s="29" t="n">
        <v>23</v>
      </c>
      <c r="K215" s="29" t="n">
        <v>39</v>
      </c>
      <c r="L215" s="37" t="n">
        <v>3</v>
      </c>
      <c r="M215" s="28" t="n">
        <v>6.14</v>
      </c>
      <c r="N215" s="32" t="inlineStr">
        <is>
          <t>常规备选，放在长尾分类；用低价冲量，不单独投流</t>
        </is>
      </c>
    </row>
    <row r="216">
      <c r="A216" s="25" t="n">
        <v>214</v>
      </c>
      <c r="B216" s="25" t="inlineStr">
        <is>
          <t>mericle</t>
        </is>
      </c>
      <c r="C216" s="35" t="inlineStr">
        <is>
          <t>B</t>
        </is>
      </c>
      <c r="D216" s="26" t="inlineStr">
        <is>
          <t>便携迷你剃须刀</t>
        </is>
      </c>
      <c r="E216" s="26" t="inlineStr">
        <is>
          <t>便携式迷你剃须刀</t>
        </is>
      </c>
      <c r="F216" s="26" t="inlineStr">
        <is>
          <t>Mericle/渐变单头剃须刀/黑色</t>
        </is>
      </c>
      <c r="G216" s="26" t="inlineStr">
        <is>
          <t>TXD-84</t>
        </is>
      </c>
      <c r="H216" s="29" t="n">
        <v>28</v>
      </c>
      <c r="I216" s="25" t="inlineStr">
        <is>
          <t>¥24–31</t>
        </is>
      </c>
      <c r="J216" s="29" t="n">
        <v>23</v>
      </c>
      <c r="K216" s="29" t="n">
        <v>39</v>
      </c>
      <c r="L216" s="37" t="n">
        <v>3</v>
      </c>
      <c r="M216" s="28" t="n">
        <v>6.14</v>
      </c>
      <c r="N216" s="32" t="inlineStr">
        <is>
          <t>常规备选，放在长尾分类；用低价冲量，不单独投流</t>
        </is>
      </c>
    </row>
    <row r="217">
      <c r="A217" s="25" t="n">
        <v>215</v>
      </c>
      <c r="B217" s="25" t="inlineStr">
        <is>
          <t>mericle</t>
        </is>
      </c>
      <c r="C217" s="35" t="inlineStr">
        <is>
          <t>B</t>
        </is>
      </c>
      <c r="D217" s="26" t="inlineStr">
        <is>
          <t>便携迷你剃须刀</t>
        </is>
      </c>
      <c r="E217" s="26" t="inlineStr">
        <is>
          <t>便携式迷你剃须刀</t>
        </is>
      </c>
      <c r="F217" s="26" t="inlineStr">
        <is>
          <t>Mericle/渐变单头剃须刀/蓝色</t>
        </is>
      </c>
      <c r="G217" s="26" t="inlineStr">
        <is>
          <t>TXD-85</t>
        </is>
      </c>
      <c r="H217" s="29" t="n">
        <v>28</v>
      </c>
      <c r="I217" s="25" t="inlineStr">
        <is>
          <t>¥24–31</t>
        </is>
      </c>
      <c r="J217" s="29" t="n">
        <v>23</v>
      </c>
      <c r="K217" s="29" t="n">
        <v>39</v>
      </c>
      <c r="L217" s="37" t="n">
        <v>3</v>
      </c>
      <c r="M217" s="28" t="n">
        <v>6.14</v>
      </c>
      <c r="N217" s="32" t="inlineStr">
        <is>
          <t>常规备选，放在长尾分类；用低价冲量，不单独投流</t>
        </is>
      </c>
    </row>
    <row r="218">
      <c r="A218" s="25" t="n">
        <v>216</v>
      </c>
      <c r="B218" s="25" t="inlineStr">
        <is>
          <t>mericle</t>
        </is>
      </c>
      <c r="C218" s="35" t="inlineStr">
        <is>
          <t>B</t>
        </is>
      </c>
      <c r="D218" s="26" t="inlineStr">
        <is>
          <t>便携迷你剃须刀</t>
        </is>
      </c>
      <c r="E218" s="26" t="inlineStr">
        <is>
          <t>磁吸双头剃须刀</t>
        </is>
      </c>
      <c r="F218" s="26" t="inlineStr">
        <is>
          <t>Mericle/磁吸双头剃须刀/银色</t>
        </is>
      </c>
      <c r="G218" s="26" t="inlineStr">
        <is>
          <t>TXD-86</t>
        </is>
      </c>
      <c r="H218" s="29" t="n">
        <v>28</v>
      </c>
      <c r="I218" s="25" t="inlineStr">
        <is>
          <t>¥24–31</t>
        </is>
      </c>
      <c r="J218" s="29" t="n">
        <v>23</v>
      </c>
      <c r="K218" s="29" t="n">
        <v>39</v>
      </c>
      <c r="L218" s="37" t="n">
        <v>3</v>
      </c>
      <c r="M218" s="28" t="n">
        <v>6.14</v>
      </c>
      <c r="N218" s="32" t="inlineStr">
        <is>
          <t>常规备选，放在长尾分类；用低价冲量，不单独投流</t>
        </is>
      </c>
    </row>
    <row r="219">
      <c r="A219" s="25" t="n">
        <v>217</v>
      </c>
      <c r="B219" s="25" t="inlineStr">
        <is>
          <t>mericle</t>
        </is>
      </c>
      <c r="C219" s="35" t="inlineStr">
        <is>
          <t>B</t>
        </is>
      </c>
      <c r="D219" s="26" t="inlineStr">
        <is>
          <t>便携迷你剃须刀</t>
        </is>
      </c>
      <c r="E219" s="26" t="inlineStr">
        <is>
          <t>便携式剃须刀</t>
        </is>
      </c>
      <c r="F219" s="26" t="inlineStr">
        <is>
          <t>Mericle/数显双头剃须刀/灰色/C8</t>
        </is>
      </c>
      <c r="G219" s="26" t="inlineStr">
        <is>
          <t>TXD-90</t>
        </is>
      </c>
      <c r="H219" s="29" t="n">
        <v>28</v>
      </c>
      <c r="I219" s="25" t="inlineStr">
        <is>
          <t>¥24–31</t>
        </is>
      </c>
      <c r="J219" s="29" t="n">
        <v>23</v>
      </c>
      <c r="K219" s="29" t="n">
        <v>39</v>
      </c>
      <c r="L219" s="37" t="n">
        <v>3</v>
      </c>
      <c r="M219" s="28" t="n">
        <v>6.14</v>
      </c>
      <c r="N219" s="32" t="inlineStr">
        <is>
          <t>常规备选，放在长尾分类；用低价冲量，不单独投流</t>
        </is>
      </c>
    </row>
    <row r="220">
      <c r="A220" s="25" t="n">
        <v>218</v>
      </c>
      <c r="B220" s="25" t="inlineStr">
        <is>
          <t>mericle</t>
        </is>
      </c>
      <c r="C220" s="35" t="inlineStr">
        <is>
          <t>B</t>
        </is>
      </c>
      <c r="D220" s="26" t="inlineStr">
        <is>
          <t>便携迷你剃须刀</t>
        </is>
      </c>
      <c r="E220" s="26" t="inlineStr">
        <is>
          <t>便携式剃须刀</t>
        </is>
      </c>
      <c r="F220" s="26" t="inlineStr">
        <is>
          <t>Mericle/数显双头剃须刀/绿色/C8</t>
        </is>
      </c>
      <c r="G220" s="26" t="inlineStr">
        <is>
          <t>TXD-91</t>
        </is>
      </c>
      <c r="H220" s="29" t="n">
        <v>28</v>
      </c>
      <c r="I220" s="25" t="inlineStr">
        <is>
          <t>¥24–31</t>
        </is>
      </c>
      <c r="J220" s="29" t="n">
        <v>23</v>
      </c>
      <c r="K220" s="29" t="n">
        <v>39</v>
      </c>
      <c r="L220" s="37" t="n">
        <v>3</v>
      </c>
      <c r="M220" s="28" t="n">
        <v>6.14</v>
      </c>
      <c r="N220" s="32" t="inlineStr">
        <is>
          <t>常规备选，放在长尾分类；用低价冲量，不单独投流</t>
        </is>
      </c>
    </row>
    <row r="221">
      <c r="A221" s="25" t="n">
        <v>219</v>
      </c>
      <c r="B221" s="25" t="inlineStr">
        <is>
          <t>mericle</t>
        </is>
      </c>
      <c r="C221" s="35" t="inlineStr">
        <is>
          <t>B</t>
        </is>
      </c>
      <c r="D221" s="26" t="inlineStr">
        <is>
          <t>便携迷你剃须刀</t>
        </is>
      </c>
      <c r="E221" s="26" t="inlineStr">
        <is>
          <t>剃须刀</t>
        </is>
      </c>
      <c r="F221" s="26" t="inlineStr">
        <is>
          <t>Mericle/机甲剃须刀/黑色/C12</t>
        </is>
      </c>
      <c r="G221" s="26" t="inlineStr">
        <is>
          <t>TXD-118</t>
        </is>
      </c>
      <c r="H221" s="29" t="n">
        <v>28</v>
      </c>
      <c r="I221" s="25" t="inlineStr">
        <is>
          <t>¥24–31</t>
        </is>
      </c>
      <c r="J221" s="29" t="n">
        <v>23</v>
      </c>
      <c r="K221" s="29" t="n">
        <v>39</v>
      </c>
      <c r="L221" s="37" t="n">
        <v>3</v>
      </c>
      <c r="M221" s="28" t="n">
        <v>6.14</v>
      </c>
      <c r="N221" s="32" t="inlineStr">
        <is>
          <t>常规备选，放在长尾分类；用低价冲量，不单独投流</t>
        </is>
      </c>
    </row>
    <row r="222">
      <c r="A222" s="25" t="n">
        <v>220</v>
      </c>
      <c r="B222" s="25" t="inlineStr">
        <is>
          <t>mericle</t>
        </is>
      </c>
      <c r="C222" s="35" t="inlineStr">
        <is>
          <t>B</t>
        </is>
      </c>
      <c r="D222" s="26" t="inlineStr">
        <is>
          <t>便携迷你剃须刀</t>
        </is>
      </c>
      <c r="E222" s="26" t="inlineStr">
        <is>
          <t>剃须刀</t>
        </is>
      </c>
      <c r="F222" s="26" t="inlineStr">
        <is>
          <t>Mericle/机甲剃须刀/蓝色/C12</t>
        </is>
      </c>
      <c r="G222" s="26" t="inlineStr">
        <is>
          <t>TXD-119</t>
        </is>
      </c>
      <c r="H222" s="29" t="n">
        <v>28</v>
      </c>
      <c r="I222" s="25" t="inlineStr">
        <is>
          <t>¥24–31</t>
        </is>
      </c>
      <c r="J222" s="29" t="n">
        <v>23</v>
      </c>
      <c r="K222" s="29" t="n">
        <v>39</v>
      </c>
      <c r="L222" s="37" t="n">
        <v>3</v>
      </c>
      <c r="M222" s="28" t="n">
        <v>6.14</v>
      </c>
      <c r="N222" s="32" t="inlineStr">
        <is>
          <t>常规备选，放在长尾分类；用低价冲量，不单独投流</t>
        </is>
      </c>
    </row>
    <row r="223">
      <c r="A223" s="25" t="n">
        <v>221</v>
      </c>
      <c r="B223" s="25" t="inlineStr">
        <is>
          <t>mericle</t>
        </is>
      </c>
      <c r="C223" s="35" t="inlineStr">
        <is>
          <t>B</t>
        </is>
      </c>
      <c r="D223" s="26" t="inlineStr">
        <is>
          <t>便携迷你剃须刀</t>
        </is>
      </c>
      <c r="E223" s="26" t="inlineStr">
        <is>
          <t>剃须刀</t>
        </is>
      </c>
      <c r="F223" s="26" t="inlineStr">
        <is>
          <t>Mericle/太阳能剃须刀/黑色/KTXD52-0508</t>
        </is>
      </c>
      <c r="G223" s="26" t="inlineStr">
        <is>
          <t>TXD-136</t>
        </is>
      </c>
      <c r="H223" s="29" t="n">
        <v>28</v>
      </c>
      <c r="I223" s="25" t="inlineStr">
        <is>
          <t>¥24–31</t>
        </is>
      </c>
      <c r="J223" s="29" t="n">
        <v>23</v>
      </c>
      <c r="K223" s="29" t="n">
        <v>39</v>
      </c>
      <c r="L223" s="37" t="n">
        <v>3</v>
      </c>
      <c r="M223" s="28" t="n">
        <v>6.14</v>
      </c>
      <c r="N223" s="32" t="inlineStr">
        <is>
          <t>常规备选，放在长尾分类；用低价冲量，不单独投流</t>
        </is>
      </c>
    </row>
    <row r="224">
      <c r="A224" s="25" t="n">
        <v>222</v>
      </c>
      <c r="B224" s="25" t="inlineStr">
        <is>
          <t>mericle</t>
        </is>
      </c>
      <c r="C224" s="35" t="inlineStr">
        <is>
          <t>B</t>
        </is>
      </c>
      <c r="D224" s="26" t="inlineStr">
        <is>
          <t>便携迷你剃须刀</t>
        </is>
      </c>
      <c r="E224" s="26" t="inlineStr">
        <is>
          <t>剃须刀</t>
        </is>
      </c>
      <c r="F224" s="26" t="inlineStr">
        <is>
          <t>Mericle/太阳能剃须刀/蓝色/KTXD52-0508</t>
        </is>
      </c>
      <c r="G224" s="26" t="inlineStr">
        <is>
          <t>TXD-137</t>
        </is>
      </c>
      <c r="H224" s="29" t="n">
        <v>28</v>
      </c>
      <c r="I224" s="25" t="inlineStr">
        <is>
          <t>¥24–31</t>
        </is>
      </c>
      <c r="J224" s="29" t="n">
        <v>23</v>
      </c>
      <c r="K224" s="29" t="n">
        <v>39</v>
      </c>
      <c r="L224" s="37" t="n">
        <v>3</v>
      </c>
      <c r="M224" s="28" t="n">
        <v>6.14</v>
      </c>
      <c r="N224" s="32" t="inlineStr">
        <is>
          <t>常规备选，放在长尾分类；用低价冲量，不单独投流</t>
        </is>
      </c>
    </row>
    <row r="225">
      <c r="A225" s="25" t="n">
        <v>223</v>
      </c>
      <c r="B225" s="25" t="inlineStr">
        <is>
          <t>mericle</t>
        </is>
      </c>
      <c r="C225" s="35" t="inlineStr">
        <is>
          <t>B</t>
        </is>
      </c>
      <c r="D225" s="26" t="inlineStr">
        <is>
          <t>便携迷你剃须刀</t>
        </is>
      </c>
      <c r="E225" s="26" t="inlineStr">
        <is>
          <t>剃须刀</t>
        </is>
      </c>
      <c r="F225" s="26" t="inlineStr">
        <is>
          <t>Mericle/往复式剃须刀/银色/902-1</t>
        </is>
      </c>
      <c r="G225" s="26" t="inlineStr">
        <is>
          <t>TXD-139</t>
        </is>
      </c>
      <c r="H225" s="29" t="n">
        <v>28</v>
      </c>
      <c r="I225" s="25" t="inlineStr">
        <is>
          <t>¥24–31</t>
        </is>
      </c>
      <c r="J225" s="29" t="n">
        <v>23</v>
      </c>
      <c r="K225" s="29" t="n">
        <v>39</v>
      </c>
      <c r="L225" s="37" t="n">
        <v>3</v>
      </c>
      <c r="M225" s="28" t="n">
        <v>6.14</v>
      </c>
      <c r="N225" s="32" t="inlineStr">
        <is>
          <t>常规备选，放在长尾分类；用低价冲量，不单独投流</t>
        </is>
      </c>
    </row>
    <row r="226">
      <c r="A226" s="25" t="n">
        <v>224</v>
      </c>
      <c r="B226" s="25" t="inlineStr">
        <is>
          <t>mericle</t>
        </is>
      </c>
      <c r="C226" s="35" t="inlineStr">
        <is>
          <t>B</t>
        </is>
      </c>
      <c r="D226" s="26" t="inlineStr">
        <is>
          <t>便携迷你剃须刀</t>
        </is>
      </c>
      <c r="E226" s="26" t="inlineStr">
        <is>
          <t>剃须刀</t>
        </is>
      </c>
      <c r="F226" s="26" t="inlineStr">
        <is>
          <t xml:space="preserve">Mericle/往复式剃须刀/灰色/902-1   </t>
        </is>
      </c>
      <c r="G226" s="26" t="inlineStr">
        <is>
          <t>TXD-140</t>
        </is>
      </c>
      <c r="H226" s="29" t="n">
        <v>28</v>
      </c>
      <c r="I226" s="25" t="inlineStr">
        <is>
          <t>¥24–31</t>
        </is>
      </c>
      <c r="J226" s="29" t="n">
        <v>23</v>
      </c>
      <c r="K226" s="29" t="n">
        <v>39</v>
      </c>
      <c r="L226" s="37" t="n">
        <v>3</v>
      </c>
      <c r="M226" s="28" t="n">
        <v>6.14</v>
      </c>
      <c r="N226" s="32" t="inlineStr">
        <is>
          <t>常规备选，放在长尾分类；用低价冲量，不单独投流</t>
        </is>
      </c>
    </row>
    <row r="227">
      <c r="A227" s="25" t="n">
        <v>225</v>
      </c>
      <c r="B227" s="25" t="inlineStr">
        <is>
          <t>mericle</t>
        </is>
      </c>
      <c r="C227" s="35" t="inlineStr">
        <is>
          <t>B</t>
        </is>
      </c>
      <c r="D227" s="26" t="inlineStr">
        <is>
          <t>便携迷你剃须刀</t>
        </is>
      </c>
      <c r="E227" s="26" t="inlineStr">
        <is>
          <t>剃须刀</t>
        </is>
      </c>
      <c r="F227" s="26" t="inlineStr">
        <is>
          <t>Mericle/迷你三头剃须刀/蓝色/TXD005</t>
        </is>
      </c>
      <c r="G227" s="26" t="inlineStr">
        <is>
          <t>TXD-141</t>
        </is>
      </c>
      <c r="H227" s="29" t="n">
        <v>28</v>
      </c>
      <c r="I227" s="25" t="inlineStr">
        <is>
          <t>¥24–31</t>
        </is>
      </c>
      <c r="J227" s="29" t="n">
        <v>23</v>
      </c>
      <c r="K227" s="29" t="n">
        <v>39</v>
      </c>
      <c r="L227" s="37" t="n">
        <v>3</v>
      </c>
      <c r="M227" s="28" t="n">
        <v>6.14</v>
      </c>
      <c r="N227" s="32" t="inlineStr">
        <is>
          <t>常规备选，放在长尾分类；用低价冲量，不单独投流</t>
        </is>
      </c>
    </row>
    <row r="228">
      <c r="A228" s="25" t="n">
        <v>226</v>
      </c>
      <c r="B228" s="25" t="inlineStr">
        <is>
          <t>mericle</t>
        </is>
      </c>
      <c r="C228" s="35" t="inlineStr">
        <is>
          <t>B</t>
        </is>
      </c>
      <c r="D228" s="26" t="inlineStr">
        <is>
          <t>便携迷你剃须刀</t>
        </is>
      </c>
      <c r="E228" s="26" t="inlineStr">
        <is>
          <t>剃须刀</t>
        </is>
      </c>
      <c r="F228" s="26" t="inlineStr">
        <is>
          <t>Mericle/迷你三头剃须刀/灰色/TXD005</t>
        </is>
      </c>
      <c r="G228" s="26" t="inlineStr">
        <is>
          <t>TXD-142</t>
        </is>
      </c>
      <c r="H228" s="29" t="n">
        <v>28</v>
      </c>
      <c r="I228" s="25" t="inlineStr">
        <is>
          <t>¥24–31</t>
        </is>
      </c>
      <c r="J228" s="29" t="n">
        <v>23</v>
      </c>
      <c r="K228" s="29" t="n">
        <v>39</v>
      </c>
      <c r="L228" s="37" t="n">
        <v>3</v>
      </c>
      <c r="M228" s="28" t="n">
        <v>6.14</v>
      </c>
      <c r="N228" s="32" t="inlineStr">
        <is>
          <t>常规备选，放在长尾分类；用低价冲量，不单独投流</t>
        </is>
      </c>
    </row>
    <row r="229">
      <c r="A229" s="25" t="n">
        <v>227</v>
      </c>
      <c r="B229" s="25" t="inlineStr">
        <is>
          <t>康佳</t>
        </is>
      </c>
      <c r="C229" s="35" t="inlineStr">
        <is>
          <t>B</t>
        </is>
      </c>
      <c r="D229" s="26" t="inlineStr">
        <is>
          <t>便携迷你剃须刀</t>
        </is>
      </c>
      <c r="E229" s="26" t="inlineStr">
        <is>
          <t>康佳便携式剃须刀</t>
        </is>
      </c>
      <c r="F229" s="26" t="inlineStr">
        <is>
          <t>康佳 天地盒剃须刀</t>
        </is>
      </c>
      <c r="G229" s="26" t="inlineStr">
        <is>
          <t>TXD-14</t>
        </is>
      </c>
      <c r="H229" s="29" t="n">
        <v>28</v>
      </c>
      <c r="I229" s="25" t="inlineStr">
        <is>
          <t>¥24–31</t>
        </is>
      </c>
      <c r="J229" s="29" t="n">
        <v>23</v>
      </c>
      <c r="K229" s="29" t="n">
        <v>39</v>
      </c>
      <c r="L229" s="37" t="n">
        <v>3</v>
      </c>
      <c r="M229" s="28" t="n">
        <v>6.14</v>
      </c>
      <c r="N229" s="32" t="inlineStr">
        <is>
          <t>常规备选，放在长尾分类；用低价冲量，不单独投流</t>
        </is>
      </c>
    </row>
    <row r="230">
      <c r="A230" s="25" t="n">
        <v>228</v>
      </c>
      <c r="B230" s="25" t="inlineStr">
        <is>
          <t>康佳</t>
        </is>
      </c>
      <c r="C230" s="35" t="inlineStr">
        <is>
          <t>B</t>
        </is>
      </c>
      <c r="D230" s="26" t="inlineStr">
        <is>
          <t>便携迷你剃须刀</t>
        </is>
      </c>
      <c r="E230" s="26" t="inlineStr">
        <is>
          <t>康佳便携式剃须刀</t>
        </is>
      </c>
      <c r="F230" s="26" t="inlineStr">
        <is>
          <t>康佳防水天地盒剃须刀</t>
        </is>
      </c>
      <c r="G230" s="26" t="inlineStr">
        <is>
          <t>TXD-26</t>
        </is>
      </c>
      <c r="H230" s="29" t="n">
        <v>28</v>
      </c>
      <c r="I230" s="25" t="inlineStr">
        <is>
          <t>¥24–31</t>
        </is>
      </c>
      <c r="J230" s="29" t="n">
        <v>23</v>
      </c>
      <c r="K230" s="29" t="n">
        <v>39</v>
      </c>
      <c r="L230" s="37" t="n">
        <v>3</v>
      </c>
      <c r="M230" s="28" t="n">
        <v>6.14</v>
      </c>
      <c r="N230" s="32" t="inlineStr">
        <is>
          <t>常规备选，放在长尾分类；用低价冲量，不单独投流</t>
        </is>
      </c>
    </row>
    <row r="231">
      <c r="A231" s="25" t="n">
        <v>229</v>
      </c>
      <c r="B231" s="25" t="inlineStr">
        <is>
          <t>康佳</t>
        </is>
      </c>
      <c r="C231" s="35" t="inlineStr">
        <is>
          <t>B</t>
        </is>
      </c>
      <c r="D231" s="26" t="inlineStr">
        <is>
          <t>便携迷你剃须刀</t>
        </is>
      </c>
      <c r="E231" s="26" t="inlineStr">
        <is>
          <t>康佳迷你剃须刀</t>
        </is>
      </c>
      <c r="F231" s="26" t="inlineStr">
        <is>
          <t>康佳/便携剃须刀/暗夜紫</t>
        </is>
      </c>
      <c r="G231" s="26" t="inlineStr">
        <is>
          <t>KZ-TXD-Mini8-01</t>
        </is>
      </c>
      <c r="H231" s="29" t="n">
        <v>28</v>
      </c>
      <c r="I231" s="25" t="inlineStr">
        <is>
          <t>¥24–31</t>
        </is>
      </c>
      <c r="J231" s="29" t="n">
        <v>23</v>
      </c>
      <c r="K231" s="29" t="n">
        <v>39</v>
      </c>
      <c r="L231" s="37" t="n">
        <v>3</v>
      </c>
      <c r="M231" s="28" t="n">
        <v>6.14</v>
      </c>
      <c r="N231" s="32" t="inlineStr">
        <is>
          <t>常规备选，放在长尾分类；用低价冲量，不单独投流</t>
        </is>
      </c>
    </row>
    <row r="232">
      <c r="A232" s="25" t="n">
        <v>230</v>
      </c>
      <c r="B232" s="25" t="inlineStr">
        <is>
          <t>康佳</t>
        </is>
      </c>
      <c r="C232" s="35" t="inlineStr">
        <is>
          <t>B</t>
        </is>
      </c>
      <c r="D232" s="26" t="inlineStr">
        <is>
          <t>便携迷你剃须刀</t>
        </is>
      </c>
      <c r="E232" s="26" t="inlineStr">
        <is>
          <t>康佳迷你剃须刀</t>
        </is>
      </c>
      <c r="F232" s="26" t="inlineStr">
        <is>
          <t>康佳/便携剃须刀/金属银</t>
        </is>
      </c>
      <c r="G232" s="26" t="inlineStr">
        <is>
          <t>KZ-TXD-Mini8-02</t>
        </is>
      </c>
      <c r="H232" s="29" t="n">
        <v>28</v>
      </c>
      <c r="I232" s="25" t="inlineStr">
        <is>
          <t>¥24–31</t>
        </is>
      </c>
      <c r="J232" s="29" t="n">
        <v>23</v>
      </c>
      <c r="K232" s="29" t="n">
        <v>39</v>
      </c>
      <c r="L232" s="37" t="n">
        <v>3</v>
      </c>
      <c r="M232" s="28" t="n">
        <v>6.14</v>
      </c>
      <c r="N232" s="32" t="inlineStr">
        <is>
          <t>常规备选，放在长尾分类；用低价冲量，不单独投流</t>
        </is>
      </c>
    </row>
    <row r="233">
      <c r="A233" s="25" t="n">
        <v>231</v>
      </c>
      <c r="B233" s="25" t="inlineStr">
        <is>
          <t>康佳</t>
        </is>
      </c>
      <c r="C233" s="35" t="inlineStr">
        <is>
          <t>B</t>
        </is>
      </c>
      <c r="D233" s="26" t="inlineStr">
        <is>
          <t>便携迷你剃须刀</t>
        </is>
      </c>
      <c r="E233" s="26" t="inlineStr">
        <is>
          <t>康佳便携式剃须刀</t>
        </is>
      </c>
      <c r="F233" s="26" t="inlineStr">
        <is>
          <t>康佳/菱形剃须刀/黑色</t>
        </is>
      </c>
      <c r="G233" s="26" t="inlineStr">
        <is>
          <t>TXD-34</t>
        </is>
      </c>
      <c r="H233" s="29" t="n">
        <v>28</v>
      </c>
      <c r="I233" s="25" t="inlineStr">
        <is>
          <t>¥24–31</t>
        </is>
      </c>
      <c r="J233" s="29" t="n">
        <v>23</v>
      </c>
      <c r="K233" s="29" t="n">
        <v>39</v>
      </c>
      <c r="L233" s="37" t="n">
        <v>3</v>
      </c>
      <c r="M233" s="28" t="n">
        <v>6.14</v>
      </c>
      <c r="N233" s="32" t="inlineStr">
        <is>
          <t>常规备选，放在长尾分类；用低价冲量，不单独投流</t>
        </is>
      </c>
    </row>
    <row r="234">
      <c r="A234" s="25" t="n">
        <v>232</v>
      </c>
      <c r="B234" s="25" t="inlineStr">
        <is>
          <t>康佳</t>
        </is>
      </c>
      <c r="C234" s="35" t="inlineStr">
        <is>
          <t>B</t>
        </is>
      </c>
      <c r="D234" s="26" t="inlineStr">
        <is>
          <t>便携迷你剃须刀</t>
        </is>
      </c>
      <c r="E234" s="26" t="inlineStr">
        <is>
          <t>康佳便携式剃须刀</t>
        </is>
      </c>
      <c r="F234" s="26" t="inlineStr">
        <is>
          <t>康佳/菱形剃须刀/银色</t>
        </is>
      </c>
      <c r="G234" s="26" t="inlineStr">
        <is>
          <t>TXD-35</t>
        </is>
      </c>
      <c r="H234" s="29" t="n">
        <v>28</v>
      </c>
      <c r="I234" s="25" t="inlineStr">
        <is>
          <t>¥24–31</t>
        </is>
      </c>
      <c r="J234" s="29" t="n">
        <v>23</v>
      </c>
      <c r="K234" s="29" t="n">
        <v>39</v>
      </c>
      <c r="L234" s="37" t="n">
        <v>3</v>
      </c>
      <c r="M234" s="28" t="n">
        <v>6.14</v>
      </c>
      <c r="N234" s="32" t="inlineStr">
        <is>
          <t>常规备选，放在长尾分类；用低价冲量，不单独投流</t>
        </is>
      </c>
    </row>
    <row r="235">
      <c r="A235" s="25" t="n">
        <v>233</v>
      </c>
      <c r="B235" s="25" t="inlineStr">
        <is>
          <t>康佳</t>
        </is>
      </c>
      <c r="C235" s="35" t="inlineStr">
        <is>
          <t>B</t>
        </is>
      </c>
      <c r="D235" s="26" t="inlineStr">
        <is>
          <t>便携迷你剃须刀</t>
        </is>
      </c>
      <c r="E235" s="26" t="inlineStr">
        <is>
          <t>康佳便携式剃须刀</t>
        </is>
      </c>
      <c r="F235" s="26" t="inlineStr">
        <is>
          <t>康佳/双头剃须刀/银色</t>
        </is>
      </c>
      <c r="G235" s="26" t="inlineStr">
        <is>
          <t>TXD-39</t>
        </is>
      </c>
      <c r="H235" s="29" t="n">
        <v>28</v>
      </c>
      <c r="I235" s="25" t="inlineStr">
        <is>
          <t>¥24–31</t>
        </is>
      </c>
      <c r="J235" s="29" t="n">
        <v>23</v>
      </c>
      <c r="K235" s="29" t="n">
        <v>39</v>
      </c>
      <c r="L235" s="37" t="n">
        <v>3</v>
      </c>
      <c r="M235" s="28" t="n">
        <v>6.14</v>
      </c>
      <c r="N235" s="32" t="inlineStr">
        <is>
          <t>常规备选，放在长尾分类；用低价冲量，不单独投流</t>
        </is>
      </c>
    </row>
    <row r="236">
      <c r="A236" s="25" t="n">
        <v>234</v>
      </c>
      <c r="B236" s="25" t="inlineStr">
        <is>
          <t>康佳</t>
        </is>
      </c>
      <c r="C236" s="35" t="inlineStr">
        <is>
          <t>B</t>
        </is>
      </c>
      <c r="D236" s="26" t="inlineStr">
        <is>
          <t>便携迷你剃须刀</t>
        </is>
      </c>
      <c r="E236" s="26" t="inlineStr">
        <is>
          <t>康佳便携式剃须刀</t>
        </is>
      </c>
      <c r="F236" s="26" t="inlineStr">
        <is>
          <t>康佳/双头剃须刀/黑金</t>
        </is>
      </c>
      <c r="G236" s="26" t="inlineStr">
        <is>
          <t>TXD-41</t>
        </is>
      </c>
      <c r="H236" s="29" t="n">
        <v>28</v>
      </c>
      <c r="I236" s="25" t="inlineStr">
        <is>
          <t>¥24–31</t>
        </is>
      </c>
      <c r="J236" s="29" t="n">
        <v>23</v>
      </c>
      <c r="K236" s="29" t="n">
        <v>39</v>
      </c>
      <c r="L236" s="37" t="n">
        <v>3</v>
      </c>
      <c r="M236" s="28" t="n">
        <v>6.14</v>
      </c>
      <c r="N236" s="32" t="inlineStr">
        <is>
          <t>常规备选，放在长尾分类；用低价冲量，不单独投流</t>
        </is>
      </c>
    </row>
    <row r="237">
      <c r="A237" s="25" t="n">
        <v>235</v>
      </c>
      <c r="B237" s="25" t="inlineStr">
        <is>
          <t>康佳</t>
        </is>
      </c>
      <c r="C237" s="35" t="inlineStr">
        <is>
          <t>B</t>
        </is>
      </c>
      <c r="D237" s="26" t="inlineStr">
        <is>
          <t>便携迷你剃须刀</t>
        </is>
      </c>
      <c r="E237" s="26" t="inlineStr">
        <is>
          <t>康佳便携式剃须刀</t>
        </is>
      </c>
      <c r="F237" s="26" t="inlineStr">
        <is>
          <t>康佳/多功能剃须刀/二代</t>
        </is>
      </c>
      <c r="G237" s="26" t="inlineStr">
        <is>
          <t>TXD-40</t>
        </is>
      </c>
      <c r="H237" s="29" t="n">
        <v>28</v>
      </c>
      <c r="I237" s="25" t="inlineStr">
        <is>
          <t>¥24–31</t>
        </is>
      </c>
      <c r="J237" s="29" t="n">
        <v>23</v>
      </c>
      <c r="K237" s="29" t="n">
        <v>39</v>
      </c>
      <c r="L237" s="37" t="n">
        <v>3</v>
      </c>
      <c r="M237" s="28" t="n">
        <v>6.14</v>
      </c>
      <c r="N237" s="32" t="inlineStr">
        <is>
          <t>常规备选，放在长尾分类；用低价冲量，不单独投流</t>
        </is>
      </c>
    </row>
    <row r="238">
      <c r="A238" s="25" t="n">
        <v>236</v>
      </c>
      <c r="B238" s="25" t="inlineStr">
        <is>
          <t>康佳</t>
        </is>
      </c>
      <c r="C238" s="35" t="inlineStr">
        <is>
          <t>B</t>
        </is>
      </c>
      <c r="D238" s="26" t="inlineStr">
        <is>
          <t>便携迷你剃须刀</t>
        </is>
      </c>
      <c r="E238" s="26" t="inlineStr">
        <is>
          <t>康佳便携式剃须刀</t>
        </is>
      </c>
      <c r="F238" s="26" t="inlineStr">
        <is>
          <t>康佳/三头剃须刀/三代/银色</t>
        </is>
      </c>
      <c r="G238" s="26" t="inlineStr">
        <is>
          <t>TXD-45</t>
        </is>
      </c>
      <c r="H238" s="29" t="n">
        <v>28</v>
      </c>
      <c r="I238" s="25" t="inlineStr">
        <is>
          <t>¥24–31</t>
        </is>
      </c>
      <c r="J238" s="29" t="n">
        <v>23</v>
      </c>
      <c r="K238" s="29" t="n">
        <v>39</v>
      </c>
      <c r="L238" s="37" t="n">
        <v>3</v>
      </c>
      <c r="M238" s="28" t="n">
        <v>6.14</v>
      </c>
      <c r="N238" s="32" t="inlineStr">
        <is>
          <t>常规备选，放在长尾分类；用低价冲量，不单独投流</t>
        </is>
      </c>
    </row>
    <row r="239">
      <c r="A239" s="25" t="n">
        <v>237</v>
      </c>
      <c r="B239" s="25" t="inlineStr">
        <is>
          <t>康佳</t>
        </is>
      </c>
      <c r="C239" s="35" t="inlineStr">
        <is>
          <t>B</t>
        </is>
      </c>
      <c r="D239" s="26" t="inlineStr">
        <is>
          <t>便携迷你剃须刀</t>
        </is>
      </c>
      <c r="E239" s="26" t="inlineStr">
        <is>
          <t>康佳便携式剃须刀</t>
        </is>
      </c>
      <c r="F239" s="26" t="inlineStr">
        <is>
          <t>康佳/罗马柱剃须刀/黑色</t>
        </is>
      </c>
      <c r="G239" s="26" t="inlineStr">
        <is>
          <t>TXD-43</t>
        </is>
      </c>
      <c r="H239" s="29" t="n">
        <v>28</v>
      </c>
      <c r="I239" s="25" t="inlineStr">
        <is>
          <t>¥24–31</t>
        </is>
      </c>
      <c r="J239" s="29" t="n">
        <v>23</v>
      </c>
      <c r="K239" s="29" t="n">
        <v>39</v>
      </c>
      <c r="L239" s="37" t="n">
        <v>3</v>
      </c>
      <c r="M239" s="28" t="n">
        <v>6.14</v>
      </c>
      <c r="N239" s="32" t="inlineStr">
        <is>
          <t>常规备选，放在长尾分类；用低价冲量，不单独投流</t>
        </is>
      </c>
    </row>
    <row r="240">
      <c r="A240" s="25" t="n">
        <v>238</v>
      </c>
      <c r="B240" s="25" t="inlineStr">
        <is>
          <t>康佳</t>
        </is>
      </c>
      <c r="C240" s="35" t="inlineStr">
        <is>
          <t>B</t>
        </is>
      </c>
      <c r="D240" s="26" t="inlineStr">
        <is>
          <t>便携迷你剃须刀</t>
        </is>
      </c>
      <c r="E240" s="26" t="inlineStr">
        <is>
          <t>康佳便携式剃须刀</t>
        </is>
      </c>
      <c r="F240" s="26" t="inlineStr">
        <is>
          <t>康佳/罗马柱剃须刀/银色</t>
        </is>
      </c>
      <c r="G240" s="26" t="inlineStr">
        <is>
          <t>TXD-44</t>
        </is>
      </c>
      <c r="H240" s="29" t="n">
        <v>28</v>
      </c>
      <c r="I240" s="25" t="inlineStr">
        <is>
          <t>¥24–31</t>
        </is>
      </c>
      <c r="J240" s="29" t="n">
        <v>23</v>
      </c>
      <c r="K240" s="29" t="n">
        <v>39</v>
      </c>
      <c r="L240" s="37" t="n">
        <v>3</v>
      </c>
      <c r="M240" s="28" t="n">
        <v>6.14</v>
      </c>
      <c r="N240" s="32" t="inlineStr">
        <is>
          <t>常规备选，放在长尾分类；用低价冲量，不单独投流</t>
        </is>
      </c>
    </row>
    <row r="241">
      <c r="A241" s="25" t="n">
        <v>239</v>
      </c>
      <c r="B241" s="25" t="inlineStr">
        <is>
          <t>康佳</t>
        </is>
      </c>
      <c r="C241" s="35" t="inlineStr">
        <is>
          <t>B</t>
        </is>
      </c>
      <c r="D241" s="26" t="inlineStr">
        <is>
          <t>便携迷你剃须刀</t>
        </is>
      </c>
      <c r="E241" s="26" t="inlineStr">
        <is>
          <t>康佳便携式剃须刀</t>
        </is>
      </c>
      <c r="F241" s="26" t="inlineStr">
        <is>
          <t>康佳/小冰砖剃须刀/橙色</t>
        </is>
      </c>
      <c r="G241" s="26" t="inlineStr">
        <is>
          <t>TXD-46</t>
        </is>
      </c>
      <c r="H241" s="29" t="n">
        <v>28</v>
      </c>
      <c r="I241" s="25" t="inlineStr">
        <is>
          <t>¥24–31</t>
        </is>
      </c>
      <c r="J241" s="29" t="n">
        <v>23</v>
      </c>
      <c r="K241" s="29" t="n">
        <v>39</v>
      </c>
      <c r="L241" s="37" t="n">
        <v>3</v>
      </c>
      <c r="M241" s="28" t="n">
        <v>6.14</v>
      </c>
      <c r="N241" s="32" t="inlineStr">
        <is>
          <t>常规备选，放在长尾分类；用低价冲量，不单独投流</t>
        </is>
      </c>
    </row>
    <row r="242">
      <c r="A242" s="25" t="n">
        <v>240</v>
      </c>
      <c r="B242" s="25" t="inlineStr">
        <is>
          <t>康佳</t>
        </is>
      </c>
      <c r="C242" s="35" t="inlineStr">
        <is>
          <t>B</t>
        </is>
      </c>
      <c r="D242" s="26" t="inlineStr">
        <is>
          <t>便携迷你剃须刀</t>
        </is>
      </c>
      <c r="E242" s="26" t="inlineStr">
        <is>
          <t>康佳便携式剃须刀</t>
        </is>
      </c>
      <c r="F242" s="26" t="inlineStr">
        <is>
          <t>康佳/小冰砖剃须刀/黑色</t>
        </is>
      </c>
      <c r="G242" s="26" t="inlineStr">
        <is>
          <t>TXD-47</t>
        </is>
      </c>
      <c r="H242" s="29" t="n">
        <v>28</v>
      </c>
      <c r="I242" s="25" t="inlineStr">
        <is>
          <t>¥24–31</t>
        </is>
      </c>
      <c r="J242" s="29" t="n">
        <v>23</v>
      </c>
      <c r="K242" s="29" t="n">
        <v>39</v>
      </c>
      <c r="L242" s="37" t="n">
        <v>3</v>
      </c>
      <c r="M242" s="28" t="n">
        <v>6.14</v>
      </c>
      <c r="N242" s="32" t="inlineStr">
        <is>
          <t>常规备选，放在长尾分类；用低价冲量，不单独投流</t>
        </is>
      </c>
    </row>
    <row r="243">
      <c r="A243" s="25" t="n">
        <v>241</v>
      </c>
      <c r="B243" s="25" t="inlineStr">
        <is>
          <t>康佳</t>
        </is>
      </c>
      <c r="C243" s="35" t="inlineStr">
        <is>
          <t>B</t>
        </is>
      </c>
      <c r="D243" s="26" t="inlineStr">
        <is>
          <t>便携迷你剃须刀</t>
        </is>
      </c>
      <c r="E243" s="26" t="inlineStr">
        <is>
          <t>康佳便携式剃须刀</t>
        </is>
      </c>
      <c r="F243" s="26" t="inlineStr">
        <is>
          <t>康佳/小冰砖剃须刀/蓝色</t>
        </is>
      </c>
      <c r="G243" s="26" t="inlineStr">
        <is>
          <t>TXD-48</t>
        </is>
      </c>
      <c r="H243" s="29" t="n">
        <v>28</v>
      </c>
      <c r="I243" s="25" t="inlineStr">
        <is>
          <t>¥24–31</t>
        </is>
      </c>
      <c r="J243" s="29" t="n">
        <v>23</v>
      </c>
      <c r="K243" s="29" t="n">
        <v>39</v>
      </c>
      <c r="L243" s="37" t="n">
        <v>3</v>
      </c>
      <c r="M243" s="28" t="n">
        <v>6.14</v>
      </c>
      <c r="N243" s="32" t="inlineStr">
        <is>
          <t>常规备选，放在长尾分类；用低价冲量，不单独投流</t>
        </is>
      </c>
    </row>
    <row r="244">
      <c r="A244" s="25" t="n">
        <v>242</v>
      </c>
      <c r="B244" s="25" t="inlineStr">
        <is>
          <t>康佳</t>
        </is>
      </c>
      <c r="C244" s="35" t="inlineStr">
        <is>
          <t>B</t>
        </is>
      </c>
      <c r="D244" s="26" t="inlineStr">
        <is>
          <t>便携迷你剃须刀</t>
        </is>
      </c>
      <c r="E244" s="26" t="inlineStr">
        <is>
          <t>康佳便携式剃须刀</t>
        </is>
      </c>
      <c r="F244" s="26" t="inlineStr">
        <is>
          <t>康佳/透明双头剃须刀/红色</t>
        </is>
      </c>
      <c r="G244" s="26" t="inlineStr">
        <is>
          <t>TXD-49</t>
        </is>
      </c>
      <c r="H244" s="29" t="n">
        <v>28</v>
      </c>
      <c r="I244" s="25" t="inlineStr">
        <is>
          <t>¥24–31</t>
        </is>
      </c>
      <c r="J244" s="29" t="n">
        <v>23</v>
      </c>
      <c r="K244" s="29" t="n">
        <v>39</v>
      </c>
      <c r="L244" s="37" t="n">
        <v>3</v>
      </c>
      <c r="M244" s="28" t="n">
        <v>6.14</v>
      </c>
      <c r="N244" s="32" t="inlineStr">
        <is>
          <t>常规备选，放在长尾分类；用低价冲量，不单独投流</t>
        </is>
      </c>
    </row>
    <row r="245">
      <c r="A245" s="25" t="n">
        <v>243</v>
      </c>
      <c r="B245" s="25" t="inlineStr">
        <is>
          <t>康佳</t>
        </is>
      </c>
      <c r="C245" s="35" t="inlineStr">
        <is>
          <t>B</t>
        </is>
      </c>
      <c r="D245" s="26" t="inlineStr">
        <is>
          <t>便携迷你剃须刀</t>
        </is>
      </c>
      <c r="E245" s="26" t="inlineStr">
        <is>
          <t>康佳便携式剃须刀</t>
        </is>
      </c>
      <c r="F245" s="26" t="inlineStr">
        <is>
          <t>康佳/透明双头剃须刀/蓝色</t>
        </is>
      </c>
      <c r="G245" s="26" t="inlineStr">
        <is>
          <t>TXD-50</t>
        </is>
      </c>
      <c r="H245" s="29" t="n">
        <v>28</v>
      </c>
      <c r="I245" s="25" t="inlineStr">
        <is>
          <t>¥24–31</t>
        </is>
      </c>
      <c r="J245" s="29" t="n">
        <v>23</v>
      </c>
      <c r="K245" s="29" t="n">
        <v>39</v>
      </c>
      <c r="L245" s="37" t="n">
        <v>3</v>
      </c>
      <c r="M245" s="28" t="n">
        <v>6.14</v>
      </c>
      <c r="N245" s="32" t="inlineStr">
        <is>
          <t>常规备选，放在长尾分类；用低价冲量，不单独投流</t>
        </is>
      </c>
    </row>
    <row r="246">
      <c r="A246" s="25" t="n">
        <v>244</v>
      </c>
      <c r="B246" s="25" t="inlineStr">
        <is>
          <t>康佳</t>
        </is>
      </c>
      <c r="C246" s="35" t="inlineStr">
        <is>
          <t>B</t>
        </is>
      </c>
      <c r="D246" s="26" t="inlineStr">
        <is>
          <t>便携迷你剃须刀</t>
        </is>
      </c>
      <c r="E246" s="26" t="inlineStr">
        <is>
          <t>康佳便携式剃须刀</t>
        </is>
      </c>
      <c r="F246" s="26" t="inlineStr">
        <is>
          <t>康佳/透明双头剃须刀/黑色</t>
        </is>
      </c>
      <c r="G246" s="26" t="inlineStr">
        <is>
          <t>TXD-51</t>
        </is>
      </c>
      <c r="H246" s="29" t="n">
        <v>28</v>
      </c>
      <c r="I246" s="25" t="inlineStr">
        <is>
          <t>¥24–31</t>
        </is>
      </c>
      <c r="J246" s="29" t="n">
        <v>23</v>
      </c>
      <c r="K246" s="29" t="n">
        <v>39</v>
      </c>
      <c r="L246" s="37" t="n">
        <v>3</v>
      </c>
      <c r="M246" s="28" t="n">
        <v>6.14</v>
      </c>
      <c r="N246" s="32" t="inlineStr">
        <is>
          <t>常规备选，放在长尾分类；用低价冲量，不单独投流</t>
        </is>
      </c>
    </row>
    <row r="247">
      <c r="A247" s="25" t="n">
        <v>245</v>
      </c>
      <c r="B247" s="25" t="inlineStr">
        <is>
          <t>康佳</t>
        </is>
      </c>
      <c r="C247" s="35" t="inlineStr">
        <is>
          <t>B</t>
        </is>
      </c>
      <c r="D247" s="26" t="inlineStr">
        <is>
          <t>便携迷你剃须刀</t>
        </is>
      </c>
      <c r="E247" s="26" t="inlineStr">
        <is>
          <t>康佳便携式剃须刀</t>
        </is>
      </c>
      <c r="F247" s="26" t="inlineStr">
        <is>
          <t>康佳/Mini6剃须刀/黑色</t>
        </is>
      </c>
      <c r="G247" s="26" t="inlineStr">
        <is>
          <t>TXD-52</t>
        </is>
      </c>
      <c r="H247" s="29" t="n">
        <v>28</v>
      </c>
      <c r="I247" s="25" t="inlineStr">
        <is>
          <t>¥24–31</t>
        </is>
      </c>
      <c r="J247" s="29" t="n">
        <v>23</v>
      </c>
      <c r="K247" s="29" t="n">
        <v>39</v>
      </c>
      <c r="L247" s="37" t="n">
        <v>3</v>
      </c>
      <c r="M247" s="28" t="n">
        <v>6.14</v>
      </c>
      <c r="N247" s="32" t="inlineStr">
        <is>
          <t>常规备选，放在长尾分类；用低价冲量，不单独投流</t>
        </is>
      </c>
    </row>
    <row r="248">
      <c r="A248" s="25" t="n">
        <v>246</v>
      </c>
      <c r="B248" s="25" t="inlineStr">
        <is>
          <t>康佳</t>
        </is>
      </c>
      <c r="C248" s="35" t="inlineStr">
        <is>
          <t>B</t>
        </is>
      </c>
      <c r="D248" s="26" t="inlineStr">
        <is>
          <t>便携迷你剃须刀</t>
        </is>
      </c>
      <c r="E248" s="26" t="inlineStr">
        <is>
          <t>康佳便携式剃须刀</t>
        </is>
      </c>
      <c r="F248" s="26" t="inlineStr">
        <is>
          <t>康佳/Mini6剃须刀/灰色</t>
        </is>
      </c>
      <c r="G248" s="26" t="inlineStr">
        <is>
          <t>TXD-53</t>
        </is>
      </c>
      <c r="H248" s="29" t="n">
        <v>28</v>
      </c>
      <c r="I248" s="25" t="inlineStr">
        <is>
          <t>¥24–31</t>
        </is>
      </c>
      <c r="J248" s="29" t="n">
        <v>23</v>
      </c>
      <c r="K248" s="29" t="n">
        <v>39</v>
      </c>
      <c r="L248" s="37" t="n">
        <v>3</v>
      </c>
      <c r="M248" s="28" t="n">
        <v>6.14</v>
      </c>
      <c r="N248" s="32" t="inlineStr">
        <is>
          <t>常规备选，放在长尾分类；用低价冲量，不单独投流</t>
        </is>
      </c>
    </row>
    <row r="249">
      <c r="A249" s="25" t="n">
        <v>247</v>
      </c>
      <c r="B249" s="25" t="inlineStr">
        <is>
          <t>康佳</t>
        </is>
      </c>
      <c r="C249" s="35" t="inlineStr">
        <is>
          <t>B</t>
        </is>
      </c>
      <c r="D249" s="26" t="inlineStr">
        <is>
          <t>便携迷你剃须刀</t>
        </is>
      </c>
      <c r="E249" s="26" t="inlineStr">
        <is>
          <t>康佳剃须刀/配件</t>
        </is>
      </c>
      <c r="F249" s="26" t="inlineStr">
        <is>
          <t>康佳/无线双头剃须刀底座</t>
        </is>
      </c>
      <c r="G249" s="26" t="inlineStr">
        <is>
          <t>TXD-58</t>
        </is>
      </c>
      <c r="H249" s="29" t="n">
        <v>28</v>
      </c>
      <c r="I249" s="25" t="inlineStr">
        <is>
          <t>¥24–31</t>
        </is>
      </c>
      <c r="J249" s="29" t="n">
        <v>23</v>
      </c>
      <c r="K249" s="29" t="n">
        <v>39</v>
      </c>
      <c r="L249" s="37" t="n">
        <v>3</v>
      </c>
      <c r="M249" s="28" t="n">
        <v>6.14</v>
      </c>
      <c r="N249" s="32" t="inlineStr">
        <is>
          <t>常规备选，放在长尾分类；用低价冲量，不单独投流</t>
        </is>
      </c>
    </row>
    <row r="250">
      <c r="A250" s="25" t="n">
        <v>248</v>
      </c>
      <c r="B250" s="25" t="inlineStr">
        <is>
          <t>康佳</t>
        </is>
      </c>
      <c r="C250" s="35" t="inlineStr">
        <is>
          <t>B</t>
        </is>
      </c>
      <c r="D250" s="26" t="inlineStr">
        <is>
          <t>便携迷你剃须刀</t>
        </is>
      </c>
      <c r="E250" s="26" t="inlineStr">
        <is>
          <t>剃须刀</t>
        </is>
      </c>
      <c r="F250" s="26" t="inlineStr">
        <is>
          <t>康佳/透明双头剃须刀S/黑色</t>
        </is>
      </c>
      <c r="G250" s="26" t="inlineStr">
        <is>
          <t>TXD-63</t>
        </is>
      </c>
      <c r="H250" s="29" t="n">
        <v>28</v>
      </c>
      <c r="I250" s="25" t="inlineStr">
        <is>
          <t>¥24–31</t>
        </is>
      </c>
      <c r="J250" s="29" t="n">
        <v>23</v>
      </c>
      <c r="K250" s="29" t="n">
        <v>39</v>
      </c>
      <c r="L250" s="37" t="n">
        <v>3</v>
      </c>
      <c r="M250" s="28" t="n">
        <v>6.14</v>
      </c>
      <c r="N250" s="32" t="inlineStr">
        <is>
          <t>常规备选，放在长尾分类；用低价冲量，不单独投流</t>
        </is>
      </c>
    </row>
    <row r="251">
      <c r="A251" s="25" t="n">
        <v>249</v>
      </c>
      <c r="B251" s="25" t="inlineStr">
        <is>
          <t>康佳</t>
        </is>
      </c>
      <c r="C251" s="35" t="inlineStr">
        <is>
          <t>B</t>
        </is>
      </c>
      <c r="D251" s="26" t="inlineStr">
        <is>
          <t>便携迷你剃须刀</t>
        </is>
      </c>
      <c r="E251" s="26" t="inlineStr">
        <is>
          <t>剃须刀</t>
        </is>
      </c>
      <c r="F251" s="26" t="inlineStr">
        <is>
          <t>康佳/透明双头剃须刀S/蓝色</t>
        </is>
      </c>
      <c r="G251" s="26" t="inlineStr">
        <is>
          <t>TXD-64</t>
        </is>
      </c>
      <c r="H251" s="29" t="n">
        <v>28</v>
      </c>
      <c r="I251" s="25" t="inlineStr">
        <is>
          <t>¥24–31</t>
        </is>
      </c>
      <c r="J251" s="29" t="n">
        <v>23</v>
      </c>
      <c r="K251" s="29" t="n">
        <v>39</v>
      </c>
      <c r="L251" s="37" t="n">
        <v>3</v>
      </c>
      <c r="M251" s="28" t="n">
        <v>6.14</v>
      </c>
      <c r="N251" s="32" t="inlineStr">
        <is>
          <t>常规备选，放在长尾分类；用低价冲量，不单独投流</t>
        </is>
      </c>
    </row>
    <row r="252">
      <c r="A252" s="25" t="n">
        <v>250</v>
      </c>
      <c r="B252" s="25" t="inlineStr">
        <is>
          <t>康佳</t>
        </is>
      </c>
      <c r="C252" s="35" t="inlineStr">
        <is>
          <t>B</t>
        </is>
      </c>
      <c r="D252" s="26" t="inlineStr">
        <is>
          <t>便携迷你剃须刀</t>
        </is>
      </c>
      <c r="E252" s="26" t="inlineStr">
        <is>
          <t>剃须刀</t>
        </is>
      </c>
      <c r="F252" s="26" t="inlineStr">
        <is>
          <t>康佳/透明双头剃须刀S/红色</t>
        </is>
      </c>
      <c r="G252" s="26" t="inlineStr">
        <is>
          <t>TXD-65</t>
        </is>
      </c>
      <c r="H252" s="29" t="n">
        <v>28</v>
      </c>
      <c r="I252" s="25" t="inlineStr">
        <is>
          <t>¥24–31</t>
        </is>
      </c>
      <c r="J252" s="29" t="n">
        <v>23</v>
      </c>
      <c r="K252" s="29" t="n">
        <v>39</v>
      </c>
      <c r="L252" s="37" t="n">
        <v>3</v>
      </c>
      <c r="M252" s="28" t="n">
        <v>6.14</v>
      </c>
      <c r="N252" s="32" t="inlineStr">
        <is>
          <t>常规备选，放在长尾分类；用低价冲量，不单独投流</t>
        </is>
      </c>
    </row>
    <row r="253">
      <c r="A253" s="25" t="n">
        <v>251</v>
      </c>
      <c r="B253" s="25" t="inlineStr">
        <is>
          <t>康佳</t>
        </is>
      </c>
      <c r="C253" s="35" t="inlineStr">
        <is>
          <t>B</t>
        </is>
      </c>
      <c r="D253" s="26" t="inlineStr">
        <is>
          <t>便携迷你剃须刀</t>
        </is>
      </c>
      <c r="E253" s="26" t="inlineStr">
        <is>
          <t>剃须刀</t>
        </is>
      </c>
      <c r="F253" s="26" t="inlineStr">
        <is>
          <t>康佳/数显双头剃须刀/绿色</t>
        </is>
      </c>
      <c r="G253" s="26" t="inlineStr">
        <is>
          <t>TXD-76</t>
        </is>
      </c>
      <c r="H253" s="29" t="n">
        <v>28</v>
      </c>
      <c r="I253" s="25" t="inlineStr">
        <is>
          <t>¥24–31</t>
        </is>
      </c>
      <c r="J253" s="29" t="n">
        <v>23</v>
      </c>
      <c r="K253" s="29" t="n">
        <v>39</v>
      </c>
      <c r="L253" s="37" t="n">
        <v>3</v>
      </c>
      <c r="M253" s="28" t="n">
        <v>6.14</v>
      </c>
      <c r="N253" s="32" t="inlineStr">
        <is>
          <t>常规备选，放在长尾分类；用低价冲量，不单独投流</t>
        </is>
      </c>
    </row>
    <row r="254">
      <c r="A254" s="25" t="n">
        <v>252</v>
      </c>
      <c r="B254" s="25" t="inlineStr">
        <is>
          <t>康佳</t>
        </is>
      </c>
      <c r="C254" s="35" t="inlineStr">
        <is>
          <t>B</t>
        </is>
      </c>
      <c r="D254" s="26" t="inlineStr">
        <is>
          <t>便携迷你剃须刀</t>
        </is>
      </c>
      <c r="E254" s="26" t="inlineStr">
        <is>
          <t>剃须刀</t>
        </is>
      </c>
      <c r="F254" s="26" t="inlineStr">
        <is>
          <t>康佳/数显双头剃须刀/灰色</t>
        </is>
      </c>
      <c r="G254" s="26" t="inlineStr">
        <is>
          <t>TXD-77</t>
        </is>
      </c>
      <c r="H254" s="29" t="n">
        <v>28</v>
      </c>
      <c r="I254" s="25" t="inlineStr">
        <is>
          <t>¥24–31</t>
        </is>
      </c>
      <c r="J254" s="29" t="n">
        <v>23</v>
      </c>
      <c r="K254" s="29" t="n">
        <v>39</v>
      </c>
      <c r="L254" s="37" t="n">
        <v>3</v>
      </c>
      <c r="M254" s="28" t="n">
        <v>6.14</v>
      </c>
      <c r="N254" s="32" t="inlineStr">
        <is>
          <t>常规备选，放在长尾分类；用低价冲量，不单独投流</t>
        </is>
      </c>
    </row>
    <row r="255">
      <c r="A255" s="25" t="n">
        <v>253</v>
      </c>
      <c r="B255" s="25" t="inlineStr">
        <is>
          <t>康佳</t>
        </is>
      </c>
      <c r="C255" s="35" t="inlineStr">
        <is>
          <t>B</t>
        </is>
      </c>
      <c r="D255" s="26" t="inlineStr">
        <is>
          <t>便携迷你剃须刀</t>
        </is>
      </c>
      <c r="E255" s="26" t="inlineStr">
        <is>
          <t>剃须刀</t>
        </is>
      </c>
      <c r="F255" s="26" t="inlineStr">
        <is>
          <t>康佳/往复式剃须刀/橙色</t>
        </is>
      </c>
      <c r="G255" s="26" t="inlineStr">
        <is>
          <t>TXD-78</t>
        </is>
      </c>
      <c r="H255" s="29" t="n">
        <v>28</v>
      </c>
      <c r="I255" s="25" t="inlineStr">
        <is>
          <t>¥24–31</t>
        </is>
      </c>
      <c r="J255" s="29" t="n">
        <v>23</v>
      </c>
      <c r="K255" s="29" t="n">
        <v>39</v>
      </c>
      <c r="L255" s="37" t="n">
        <v>3</v>
      </c>
      <c r="M255" s="28" t="n">
        <v>6.14</v>
      </c>
      <c r="N255" s="32" t="inlineStr">
        <is>
          <t>常规备选，放在长尾分类；用低价冲量，不单独投流</t>
        </is>
      </c>
    </row>
    <row r="256">
      <c r="A256" s="25" t="n">
        <v>254</v>
      </c>
      <c r="B256" s="25" t="inlineStr">
        <is>
          <t>康佳</t>
        </is>
      </c>
      <c r="C256" s="35" t="inlineStr">
        <is>
          <t>B</t>
        </is>
      </c>
      <c r="D256" s="26" t="inlineStr">
        <is>
          <t>便携迷你剃须刀</t>
        </is>
      </c>
      <c r="E256" s="26" t="inlineStr">
        <is>
          <t>剃须刀</t>
        </is>
      </c>
      <c r="F256" s="26" t="inlineStr">
        <is>
          <t>康佳/往复式剃须刀/黑色</t>
        </is>
      </c>
      <c r="G256" s="26" t="inlineStr">
        <is>
          <t>TXD-79</t>
        </is>
      </c>
      <c r="H256" s="29" t="n">
        <v>28</v>
      </c>
      <c r="I256" s="25" t="inlineStr">
        <is>
          <t>¥24–31</t>
        </is>
      </c>
      <c r="J256" s="29" t="n">
        <v>23</v>
      </c>
      <c r="K256" s="29" t="n">
        <v>39</v>
      </c>
      <c r="L256" s="37" t="n">
        <v>3</v>
      </c>
      <c r="M256" s="28" t="n">
        <v>6.14</v>
      </c>
      <c r="N256" s="32" t="inlineStr">
        <is>
          <t>常规备选，放在长尾分类；用低价冲量，不单独投流</t>
        </is>
      </c>
    </row>
    <row r="257">
      <c r="A257" s="25" t="n">
        <v>255</v>
      </c>
      <c r="B257" s="25" t="inlineStr">
        <is>
          <t>康佳</t>
        </is>
      </c>
      <c r="C257" s="35" t="inlineStr">
        <is>
          <t>B</t>
        </is>
      </c>
      <c r="D257" s="26" t="inlineStr">
        <is>
          <t>便携迷你剃须刀</t>
        </is>
      </c>
      <c r="E257" s="26" t="inlineStr">
        <is>
          <t>剃须刀</t>
        </is>
      </c>
      <c r="F257" s="26" t="inlineStr">
        <is>
          <t>康佳/往复式剃须刀/银色</t>
        </is>
      </c>
      <c r="G257" s="26" t="inlineStr">
        <is>
          <t>TXD-80</t>
        </is>
      </c>
      <c r="H257" s="29" t="n">
        <v>28</v>
      </c>
      <c r="I257" s="25" t="inlineStr">
        <is>
          <t>¥24–31</t>
        </is>
      </c>
      <c r="J257" s="29" t="n">
        <v>23</v>
      </c>
      <c r="K257" s="29" t="n">
        <v>39</v>
      </c>
      <c r="L257" s="37" t="n">
        <v>3</v>
      </c>
      <c r="M257" s="28" t="n">
        <v>6.14</v>
      </c>
      <c r="N257" s="32" t="inlineStr">
        <is>
          <t>常规备选，放在长尾分类；用低价冲量，不单独投流</t>
        </is>
      </c>
    </row>
    <row r="258">
      <c r="A258" s="25" t="n">
        <v>256</v>
      </c>
      <c r="B258" s="25" t="inlineStr">
        <is>
          <t>康佳</t>
        </is>
      </c>
      <c r="C258" s="35" t="inlineStr">
        <is>
          <t>B</t>
        </is>
      </c>
      <c r="D258" s="26" t="inlineStr">
        <is>
          <t>便携迷你剃须刀</t>
        </is>
      </c>
      <c r="E258" s="26" t="inlineStr">
        <is>
          <t>剃须刀</t>
        </is>
      </c>
      <c r="F258" s="26" t="inlineStr">
        <is>
          <t>康佳/手持往复式剃须刀/黑色/KTXD-1332-T</t>
        </is>
      </c>
      <c r="G258" s="26" t="inlineStr">
        <is>
          <t>TXD-94</t>
        </is>
      </c>
      <c r="H258" s="29" t="n">
        <v>28</v>
      </c>
      <c r="I258" s="25" t="inlineStr">
        <is>
          <t>¥24–31</t>
        </is>
      </c>
      <c r="J258" s="29" t="n">
        <v>23</v>
      </c>
      <c r="K258" s="29" t="n">
        <v>39</v>
      </c>
      <c r="L258" s="37" t="n">
        <v>3</v>
      </c>
      <c r="M258" s="28" t="n">
        <v>6.14</v>
      </c>
      <c r="N258" s="32" t="inlineStr">
        <is>
          <t>常规备选，放在长尾分类；用低价冲量，不单独投流</t>
        </is>
      </c>
    </row>
    <row r="259">
      <c r="A259" s="25" t="n">
        <v>257</v>
      </c>
      <c r="B259" s="25" t="inlineStr">
        <is>
          <t>康佳</t>
        </is>
      </c>
      <c r="C259" s="35" t="inlineStr">
        <is>
          <t>B</t>
        </is>
      </c>
      <c r="D259" s="26" t="inlineStr">
        <is>
          <t>便携迷你剃须刀</t>
        </is>
      </c>
      <c r="E259" s="26" t="inlineStr">
        <is>
          <t>剃须刀</t>
        </is>
      </c>
      <c r="F259" s="26" t="inlineStr">
        <is>
          <t>康佳/手持往复式剃须刀/蓝色/KTXD-1332-T</t>
        </is>
      </c>
      <c r="G259" s="26" t="inlineStr">
        <is>
          <t>TXD-95</t>
        </is>
      </c>
      <c r="H259" s="29" t="n">
        <v>28</v>
      </c>
      <c r="I259" s="25" t="inlineStr">
        <is>
          <t>¥24–31</t>
        </is>
      </c>
      <c r="J259" s="29" t="n">
        <v>23</v>
      </c>
      <c r="K259" s="29" t="n">
        <v>39</v>
      </c>
      <c r="L259" s="37" t="n">
        <v>3</v>
      </c>
      <c r="M259" s="28" t="n">
        <v>6.14</v>
      </c>
      <c r="N259" s="32" t="inlineStr">
        <is>
          <t>常规备选，放在长尾分类；用低价冲量，不单独投流</t>
        </is>
      </c>
    </row>
    <row r="260">
      <c r="A260" s="25" t="n">
        <v>258</v>
      </c>
      <c r="B260" s="25" t="inlineStr">
        <is>
          <t>康佳</t>
        </is>
      </c>
      <c r="C260" s="35" t="inlineStr">
        <is>
          <t>B</t>
        </is>
      </c>
      <c r="D260" s="26" t="inlineStr">
        <is>
          <t>便携迷你剃须刀</t>
        </is>
      </c>
      <c r="E260" s="26" t="inlineStr">
        <is>
          <t>剃须刀</t>
        </is>
      </c>
      <c r="F260" s="26" t="inlineStr">
        <is>
          <t>康佳/多功能剃须刀/KTXD-1335-T/橙色</t>
        </is>
      </c>
      <c r="G260" s="26" t="inlineStr">
        <is>
          <t>TXD-96</t>
        </is>
      </c>
      <c r="H260" s="29" t="n">
        <v>28</v>
      </c>
      <c r="I260" s="25" t="inlineStr">
        <is>
          <t>¥24–31</t>
        </is>
      </c>
      <c r="J260" s="29" t="n">
        <v>23</v>
      </c>
      <c r="K260" s="29" t="n">
        <v>39</v>
      </c>
      <c r="L260" s="37" t="n">
        <v>3</v>
      </c>
      <c r="M260" s="28" t="n">
        <v>6.14</v>
      </c>
      <c r="N260" s="32" t="inlineStr">
        <is>
          <t>常规备选，放在长尾分类；用低价冲量，不单独投流</t>
        </is>
      </c>
    </row>
    <row r="261">
      <c r="A261" s="25" t="n">
        <v>259</v>
      </c>
      <c r="B261" s="25" t="inlineStr">
        <is>
          <t>康佳</t>
        </is>
      </c>
      <c r="C261" s="35" t="inlineStr">
        <is>
          <t>B</t>
        </is>
      </c>
      <c r="D261" s="26" t="inlineStr">
        <is>
          <t>便携迷你剃须刀</t>
        </is>
      </c>
      <c r="E261" s="26" t="inlineStr">
        <is>
          <t>剃须刀</t>
        </is>
      </c>
      <c r="F261" s="26" t="inlineStr">
        <is>
          <t>康佳/多功能剃须刀/KTXD-1335-T/白色</t>
        </is>
      </c>
      <c r="G261" s="26" t="inlineStr">
        <is>
          <t>TXD-98</t>
        </is>
      </c>
      <c r="H261" s="29" t="n">
        <v>28</v>
      </c>
      <c r="I261" s="25" t="inlineStr">
        <is>
          <t>¥24–31</t>
        </is>
      </c>
      <c r="J261" s="29" t="n">
        <v>23</v>
      </c>
      <c r="K261" s="29" t="n">
        <v>39</v>
      </c>
      <c r="L261" s="37" t="n">
        <v>3</v>
      </c>
      <c r="M261" s="28" t="n">
        <v>6.14</v>
      </c>
      <c r="N261" s="32" t="inlineStr">
        <is>
          <t>常规备选，放在长尾分类；用低价冲量，不单独投流</t>
        </is>
      </c>
    </row>
    <row r="262">
      <c r="A262" s="25" t="n">
        <v>260</v>
      </c>
      <c r="B262" s="25" t="inlineStr">
        <is>
          <t>康佳</t>
        </is>
      </c>
      <c r="C262" s="35" t="inlineStr">
        <is>
          <t>B</t>
        </is>
      </c>
      <c r="D262" s="26" t="inlineStr">
        <is>
          <t>便携迷你剃须刀</t>
        </is>
      </c>
      <c r="E262" s="26" t="inlineStr">
        <is>
          <t>剃须刀</t>
        </is>
      </c>
      <c r="F262" s="26" t="inlineStr">
        <is>
          <t>康佳/透明双头剃须刀/黑色礼盒装/1320-T</t>
        </is>
      </c>
      <c r="G262" s="26" t="inlineStr">
        <is>
          <t>TXD-102</t>
        </is>
      </c>
      <c r="H262" s="29" t="n">
        <v>28</v>
      </c>
      <c r="I262" s="25" t="inlineStr">
        <is>
          <t>¥24–31</t>
        </is>
      </c>
      <c r="J262" s="29" t="n">
        <v>23</v>
      </c>
      <c r="K262" s="29" t="n">
        <v>39</v>
      </c>
      <c r="L262" s="37" t="n">
        <v>3</v>
      </c>
      <c r="M262" s="28" t="n">
        <v>6.14</v>
      </c>
      <c r="N262" s="32" t="inlineStr">
        <is>
          <t>常规备选，放在长尾分类；用低价冲量，不单独投流</t>
        </is>
      </c>
    </row>
    <row r="263">
      <c r="A263" s="25" t="n">
        <v>261</v>
      </c>
      <c r="B263" s="25" t="inlineStr">
        <is>
          <t>康佳</t>
        </is>
      </c>
      <c r="C263" s="35" t="inlineStr">
        <is>
          <t>B</t>
        </is>
      </c>
      <c r="D263" s="26" t="inlineStr">
        <is>
          <t>便携迷你剃须刀</t>
        </is>
      </c>
      <c r="E263" s="26" t="inlineStr">
        <is>
          <t>剃须刀</t>
        </is>
      </c>
      <c r="F263" s="26" t="inlineStr">
        <is>
          <t>康佳/多功能剃须刀/KTXD-1335-T/蓝色</t>
        </is>
      </c>
      <c r="G263" s="26" t="inlineStr">
        <is>
          <t>TXD-99</t>
        </is>
      </c>
      <c r="H263" s="29" t="n">
        <v>28</v>
      </c>
      <c r="I263" s="25" t="inlineStr">
        <is>
          <t>¥24–31</t>
        </is>
      </c>
      <c r="J263" s="29" t="n">
        <v>23</v>
      </c>
      <c r="K263" s="29" t="n">
        <v>39</v>
      </c>
      <c r="L263" s="37" t="n">
        <v>3</v>
      </c>
      <c r="M263" s="28" t="n">
        <v>6.14</v>
      </c>
      <c r="N263" s="32" t="inlineStr">
        <is>
          <t>常规备选，放在长尾分类；用低价冲量，不单独投流</t>
        </is>
      </c>
    </row>
    <row r="264">
      <c r="A264" s="25" t="n">
        <v>262</v>
      </c>
      <c r="B264" s="25" t="inlineStr">
        <is>
          <t>康佳</t>
        </is>
      </c>
      <c r="C264" s="35" t="inlineStr">
        <is>
          <t>B</t>
        </is>
      </c>
      <c r="D264" s="26" t="inlineStr">
        <is>
          <t>便携迷你剃须刀</t>
        </is>
      </c>
      <c r="E264" s="26" t="inlineStr">
        <is>
          <t>剃须刀</t>
        </is>
      </c>
      <c r="F264" s="26" t="inlineStr">
        <is>
          <t>康佳/多功能剃须刀/KTXD-1335-T/黑色</t>
        </is>
      </c>
      <c r="G264" s="26" t="inlineStr">
        <is>
          <t>TXD-97</t>
        </is>
      </c>
      <c r="H264" s="29" t="n">
        <v>28</v>
      </c>
      <c r="I264" s="25" t="inlineStr">
        <is>
          <t>¥24–31</t>
        </is>
      </c>
      <c r="J264" s="29" t="n">
        <v>23</v>
      </c>
      <c r="K264" s="29" t="n">
        <v>39</v>
      </c>
      <c r="L264" s="37" t="n">
        <v>3</v>
      </c>
      <c r="M264" s="28" t="n">
        <v>6.14</v>
      </c>
      <c r="N264" s="32" t="inlineStr">
        <is>
          <t>常规备选，放在长尾分类；用低价冲量，不单独投流</t>
        </is>
      </c>
    </row>
    <row r="265">
      <c r="A265" s="25" t="n">
        <v>263</v>
      </c>
      <c r="B265" s="25" t="inlineStr">
        <is>
          <t>康佳</t>
        </is>
      </c>
      <c r="C265" s="35" t="inlineStr">
        <is>
          <t>B</t>
        </is>
      </c>
      <c r="D265" s="26" t="inlineStr">
        <is>
          <t>便携迷你剃须刀</t>
        </is>
      </c>
      <c r="E265" s="26" t="inlineStr">
        <is>
          <t>剃须刀</t>
        </is>
      </c>
      <c r="F265" s="26" t="inlineStr">
        <is>
          <t>康佳/透明双头剃须刀/红色礼盒装/1320-T</t>
        </is>
      </c>
      <c r="G265" s="26" t="inlineStr">
        <is>
          <t>TXD-113</t>
        </is>
      </c>
      <c r="H265" s="29" t="n">
        <v>28</v>
      </c>
      <c r="I265" s="25" t="inlineStr">
        <is>
          <t>¥24–31</t>
        </is>
      </c>
      <c r="J265" s="29" t="n">
        <v>23</v>
      </c>
      <c r="K265" s="29" t="n">
        <v>39</v>
      </c>
      <c r="L265" s="37" t="n">
        <v>3</v>
      </c>
      <c r="M265" s="28" t="n">
        <v>6.14</v>
      </c>
      <c r="N265" s="32" t="inlineStr">
        <is>
          <t>常规备选，放在长尾分类；用低价冲量，不单独投流</t>
        </is>
      </c>
    </row>
    <row r="266">
      <c r="A266" s="25" t="n">
        <v>264</v>
      </c>
      <c r="B266" s="25" t="inlineStr">
        <is>
          <t>康佳</t>
        </is>
      </c>
      <c r="C266" s="35" t="inlineStr">
        <is>
          <t>B</t>
        </is>
      </c>
      <c r="D266" s="26" t="inlineStr">
        <is>
          <t>便携迷你剃须刀</t>
        </is>
      </c>
      <c r="E266" s="26" t="inlineStr">
        <is>
          <t>剃须刀</t>
        </is>
      </c>
      <c r="F266" s="26" t="inlineStr">
        <is>
          <t>康佳/透明双头剃须刀/蓝色礼盒装/1320-T</t>
        </is>
      </c>
      <c r="G266" s="26" t="inlineStr">
        <is>
          <t>TXD-114</t>
        </is>
      </c>
      <c r="H266" s="29" t="n">
        <v>28</v>
      </c>
      <c r="I266" s="25" t="inlineStr">
        <is>
          <t>¥24–31</t>
        </is>
      </c>
      <c r="J266" s="29" t="n">
        <v>23</v>
      </c>
      <c r="K266" s="29" t="n">
        <v>39</v>
      </c>
      <c r="L266" s="37" t="n">
        <v>3</v>
      </c>
      <c r="M266" s="28" t="n">
        <v>6.14</v>
      </c>
      <c r="N266" s="32" t="inlineStr">
        <is>
          <t>常规备选，放在长尾分类；用低价冲量，不单独投流</t>
        </is>
      </c>
    </row>
    <row r="267">
      <c r="A267" s="25" t="n">
        <v>265</v>
      </c>
      <c r="B267" s="25" t="inlineStr">
        <is>
          <t>康佳</t>
        </is>
      </c>
      <c r="C267" s="35" t="inlineStr">
        <is>
          <t>B</t>
        </is>
      </c>
      <c r="D267" s="26" t="inlineStr">
        <is>
          <t>便携迷你剃须刀</t>
        </is>
      </c>
      <c r="E267" s="26" t="inlineStr">
        <is>
          <t>剃须刀</t>
        </is>
      </c>
      <c r="F267" s="26" t="inlineStr">
        <is>
          <t>康佳/数显双头剃须刀/灰色/KTXD-1336-T</t>
        </is>
      </c>
      <c r="G267" s="26" t="inlineStr">
        <is>
          <t>TXD-115</t>
        </is>
      </c>
      <c r="H267" s="29" t="n">
        <v>28</v>
      </c>
      <c r="I267" s="25" t="inlineStr">
        <is>
          <t>¥24–31</t>
        </is>
      </c>
      <c r="J267" s="29" t="n">
        <v>23</v>
      </c>
      <c r="K267" s="29" t="n">
        <v>39</v>
      </c>
      <c r="L267" s="37" t="n">
        <v>3</v>
      </c>
      <c r="M267" s="28" t="n">
        <v>6.14</v>
      </c>
      <c r="N267" s="32" t="inlineStr">
        <is>
          <t>常规备选，放在长尾分类；用低价冲量，不单独投流</t>
        </is>
      </c>
    </row>
    <row r="268">
      <c r="A268" s="25" t="n">
        <v>266</v>
      </c>
      <c r="B268" s="25" t="inlineStr">
        <is>
          <t>康佳</t>
        </is>
      </c>
      <c r="C268" s="35" t="inlineStr">
        <is>
          <t>B</t>
        </is>
      </c>
      <c r="D268" s="26" t="inlineStr">
        <is>
          <t>便携迷你剃须刀</t>
        </is>
      </c>
      <c r="E268" s="26" t="inlineStr">
        <is>
          <t>剃须刀</t>
        </is>
      </c>
      <c r="F268" s="26" t="inlineStr">
        <is>
          <t>康佳/数显双头剃须刀/绿色/KTXD-1336-T</t>
        </is>
      </c>
      <c r="G268" s="26" t="inlineStr">
        <is>
          <t>TXD-116</t>
        </is>
      </c>
      <c r="H268" s="29" t="n">
        <v>28</v>
      </c>
      <c r="I268" s="25" t="inlineStr">
        <is>
          <t>¥24–31</t>
        </is>
      </c>
      <c r="J268" s="29" t="n">
        <v>23</v>
      </c>
      <c r="K268" s="29" t="n">
        <v>39</v>
      </c>
      <c r="L268" s="37" t="n">
        <v>3</v>
      </c>
      <c r="M268" s="28" t="n">
        <v>6.14</v>
      </c>
      <c r="N268" s="32" t="inlineStr">
        <is>
          <t>常规备选，放在长尾分类；用低价冲量，不单独投流</t>
        </is>
      </c>
    </row>
    <row r="269">
      <c r="A269" s="25" t="n">
        <v>267</v>
      </c>
      <c r="B269" s="25" t="inlineStr">
        <is>
          <t>康佳</t>
        </is>
      </c>
      <c r="C269" s="35" t="inlineStr">
        <is>
          <t>B</t>
        </is>
      </c>
      <c r="D269" s="26" t="inlineStr">
        <is>
          <t>便携迷你剃须刀</t>
        </is>
      </c>
      <c r="E269" s="26" t="inlineStr">
        <is>
          <t>剃须刀</t>
        </is>
      </c>
      <c r="F269" s="26" t="inlineStr">
        <is>
          <t>康佳/双头剃须刀/红色/KTXD51-0505</t>
        </is>
      </c>
      <c r="G269" s="26" t="inlineStr">
        <is>
          <t>TXD-126</t>
        </is>
      </c>
      <c r="H269" s="29" t="n">
        <v>28</v>
      </c>
      <c r="I269" s="25" t="inlineStr">
        <is>
          <t>¥24–31</t>
        </is>
      </c>
      <c r="J269" s="29" t="n">
        <v>23</v>
      </c>
      <c r="K269" s="29" t="n">
        <v>39</v>
      </c>
      <c r="L269" s="37" t="n">
        <v>3</v>
      </c>
      <c r="M269" s="28" t="n">
        <v>6.14</v>
      </c>
      <c r="N269" s="32" t="inlineStr">
        <is>
          <t>常规备选，放在长尾分类；用低价冲量，不单独投流</t>
        </is>
      </c>
    </row>
    <row r="270">
      <c r="A270" s="25" t="n">
        <v>268</v>
      </c>
      <c r="B270" s="25" t="inlineStr">
        <is>
          <t>康佳</t>
        </is>
      </c>
      <c r="C270" s="35" t="inlineStr">
        <is>
          <t>B</t>
        </is>
      </c>
      <c r="D270" s="26" t="inlineStr">
        <is>
          <t>便携迷你剃须刀</t>
        </is>
      </c>
      <c r="E270" s="26" t="inlineStr">
        <is>
          <t>剃须刀</t>
        </is>
      </c>
      <c r="F270" s="26" t="inlineStr">
        <is>
          <t>康佳/双头剃须刀/黄色/KTXD51-0505</t>
        </is>
      </c>
      <c r="G270" s="26" t="inlineStr">
        <is>
          <t>TXD-129</t>
        </is>
      </c>
      <c r="H270" s="29" t="n">
        <v>28</v>
      </c>
      <c r="I270" s="25" t="inlineStr">
        <is>
          <t>¥24–31</t>
        </is>
      </c>
      <c r="J270" s="29" t="n">
        <v>23</v>
      </c>
      <c r="K270" s="29" t="n">
        <v>39</v>
      </c>
      <c r="L270" s="37" t="n">
        <v>3</v>
      </c>
      <c r="M270" s="28" t="n">
        <v>6.14</v>
      </c>
      <c r="N270" s="32" t="inlineStr">
        <is>
          <t>常规备选，放在长尾分类；用低价冲量，不单独投流</t>
        </is>
      </c>
    </row>
    <row r="271">
      <c r="A271" s="25" t="n">
        <v>269</v>
      </c>
      <c r="B271" s="25" t="inlineStr">
        <is>
          <t>康佳</t>
        </is>
      </c>
      <c r="C271" s="35" t="inlineStr">
        <is>
          <t>B</t>
        </is>
      </c>
      <c r="D271" s="26" t="inlineStr">
        <is>
          <t>便携迷你剃须刀</t>
        </is>
      </c>
      <c r="E271" s="26" t="inlineStr">
        <is>
          <t>剃须刀</t>
        </is>
      </c>
      <c r="F271" s="26" t="inlineStr">
        <is>
          <t>康佳/双头剃须刀/银色/KTXD51-0505</t>
        </is>
      </c>
      <c r="G271" s="26" t="inlineStr">
        <is>
          <t>TXD-130</t>
        </is>
      </c>
      <c r="H271" s="29" t="n">
        <v>28</v>
      </c>
      <c r="I271" s="25" t="inlineStr">
        <is>
          <t>¥24–31</t>
        </is>
      </c>
      <c r="J271" s="29" t="n">
        <v>23</v>
      </c>
      <c r="K271" s="29" t="n">
        <v>39</v>
      </c>
      <c r="L271" s="37" t="n">
        <v>3</v>
      </c>
      <c r="M271" s="28" t="n">
        <v>6.14</v>
      </c>
      <c r="N271" s="32" t="inlineStr">
        <is>
          <t>常规备选，放在长尾分类；用低价冲量，不单独投流</t>
        </is>
      </c>
    </row>
    <row r="272">
      <c r="A272" s="25" t="n">
        <v>270</v>
      </c>
      <c r="B272" s="25" t="inlineStr">
        <is>
          <t>康佳</t>
        </is>
      </c>
      <c r="C272" s="35" t="inlineStr">
        <is>
          <t>B</t>
        </is>
      </c>
      <c r="D272" s="26" t="inlineStr">
        <is>
          <t>便携迷你剃须刀</t>
        </is>
      </c>
      <c r="E272" s="26" t="inlineStr">
        <is>
          <t>剃须刀</t>
        </is>
      </c>
      <c r="F272" s="26" t="inlineStr">
        <is>
          <t>康佳/数显双头剃须刀/银色/KTXD-0815-T</t>
        </is>
      </c>
      <c r="G272" s="26" t="inlineStr">
        <is>
          <t>TXD-133</t>
        </is>
      </c>
      <c r="H272" s="29" t="n">
        <v>28</v>
      </c>
      <c r="I272" s="25" t="inlineStr">
        <is>
          <t>¥24–31</t>
        </is>
      </c>
      <c r="J272" s="29" t="n">
        <v>23</v>
      </c>
      <c r="K272" s="29" t="n">
        <v>39</v>
      </c>
      <c r="L272" s="37" t="n">
        <v>3</v>
      </c>
      <c r="M272" s="28" t="n">
        <v>6.14</v>
      </c>
      <c r="N272" s="32" t="inlineStr">
        <is>
          <t>常规备选，放在长尾分类；用低价冲量，不单独投流</t>
        </is>
      </c>
    </row>
    <row r="273">
      <c r="A273" s="25" t="n">
        <v>271</v>
      </c>
      <c r="B273" s="25" t="inlineStr">
        <is>
          <t>康佳</t>
        </is>
      </c>
      <c r="C273" s="35" t="inlineStr">
        <is>
          <t>B</t>
        </is>
      </c>
      <c r="D273" s="26" t="inlineStr">
        <is>
          <t>便携迷你剃须刀</t>
        </is>
      </c>
      <c r="E273" s="26" t="inlineStr">
        <is>
          <t>剃须刀</t>
        </is>
      </c>
      <c r="F273" s="26" t="inlineStr">
        <is>
          <t>康佳/数显双头剃须刀/橙色/KTXD-0815-T</t>
        </is>
      </c>
      <c r="G273" s="26" t="inlineStr">
        <is>
          <t>TXD-134</t>
        </is>
      </c>
      <c r="H273" s="29" t="n">
        <v>28</v>
      </c>
      <c r="I273" s="25" t="inlineStr">
        <is>
          <t>¥24–31</t>
        </is>
      </c>
      <c r="J273" s="29" t="n">
        <v>23</v>
      </c>
      <c r="K273" s="29" t="n">
        <v>39</v>
      </c>
      <c r="L273" s="37" t="n">
        <v>3</v>
      </c>
      <c r="M273" s="28" t="n">
        <v>6.14</v>
      </c>
      <c r="N273" s="32" t="inlineStr">
        <is>
          <t>常规备选，放在长尾分类；用低价冲量，不单独投流</t>
        </is>
      </c>
    </row>
    <row r="274">
      <c r="A274" s="25" t="n">
        <v>272</v>
      </c>
      <c r="B274" s="25" t="inlineStr">
        <is>
          <t>现代</t>
        </is>
      </c>
      <c r="C274" s="35" t="inlineStr">
        <is>
          <t>B</t>
        </is>
      </c>
      <c r="D274" s="26" t="inlineStr">
        <is>
          <t>便携迷你剃须刀</t>
        </is>
      </c>
      <c r="E274" s="26" t="inlineStr">
        <is>
          <t>剃须刀</t>
        </is>
      </c>
      <c r="F274" s="26" t="inlineStr">
        <is>
          <t>现代/三头剃须刀/银色</t>
        </is>
      </c>
      <c r="G274" s="26" t="inlineStr">
        <is>
          <t>TXD-54</t>
        </is>
      </c>
      <c r="H274" s="29" t="n">
        <v>28</v>
      </c>
      <c r="I274" s="25" t="inlineStr">
        <is>
          <t>¥24–31</t>
        </is>
      </c>
      <c r="J274" s="29" t="n">
        <v>23</v>
      </c>
      <c r="K274" s="29" t="n">
        <v>39</v>
      </c>
      <c r="L274" s="37" t="n">
        <v>3</v>
      </c>
      <c r="M274" s="28" t="n">
        <v>6.14</v>
      </c>
      <c r="N274" s="32" t="inlineStr">
        <is>
          <t>常规备选，放在长尾分类；用低价冲量，不单独投流</t>
        </is>
      </c>
    </row>
    <row r="275">
      <c r="A275" s="25" t="n">
        <v>273</v>
      </c>
      <c r="B275" s="25" t="inlineStr">
        <is>
          <t>夏新</t>
        </is>
      </c>
      <c r="C275" s="35" t="inlineStr">
        <is>
          <t>B</t>
        </is>
      </c>
      <c r="D275" s="26" t="inlineStr">
        <is>
          <t>便携迷你剃须刀</t>
        </is>
      </c>
      <c r="E275" s="26" t="inlineStr">
        <is>
          <t>剃须刀</t>
        </is>
      </c>
      <c r="F275" s="26" t="inlineStr">
        <is>
          <t>夏新/透明双头剃须刀/黑</t>
        </is>
      </c>
      <c r="G275" s="26" t="inlineStr">
        <is>
          <t>TXD-71</t>
        </is>
      </c>
      <c r="H275" s="29" t="n">
        <v>28</v>
      </c>
      <c r="I275" s="25" t="inlineStr">
        <is>
          <t>¥24–31</t>
        </is>
      </c>
      <c r="J275" s="29" t="n">
        <v>23</v>
      </c>
      <c r="K275" s="29" t="n">
        <v>39</v>
      </c>
      <c r="L275" s="37" t="n">
        <v>3</v>
      </c>
      <c r="M275" s="28" t="n">
        <v>6.14</v>
      </c>
      <c r="N275" s="32" t="inlineStr">
        <is>
          <t>常规备选，放在长尾分类；用低价冲量，不单独投流</t>
        </is>
      </c>
    </row>
    <row r="276">
      <c r="A276" s="25" t="n">
        <v>274</v>
      </c>
      <c r="B276" s="25" t="inlineStr">
        <is>
          <t>夏新</t>
        </is>
      </c>
      <c r="C276" s="35" t="inlineStr">
        <is>
          <t>B</t>
        </is>
      </c>
      <c r="D276" s="26" t="inlineStr">
        <is>
          <t>便携迷你剃须刀</t>
        </is>
      </c>
      <c r="E276" s="26" t="inlineStr">
        <is>
          <t>剃须刀</t>
        </is>
      </c>
      <c r="F276" s="26" t="inlineStr">
        <is>
          <t>夏新/透明双头剃须刀/蓝</t>
        </is>
      </c>
      <c r="G276" s="26" t="inlineStr">
        <is>
          <t>TXD-72</t>
        </is>
      </c>
      <c r="H276" s="29" t="n">
        <v>28</v>
      </c>
      <c r="I276" s="25" t="inlineStr">
        <is>
          <t>¥24–31</t>
        </is>
      </c>
      <c r="J276" s="29" t="n">
        <v>23</v>
      </c>
      <c r="K276" s="29" t="n">
        <v>39</v>
      </c>
      <c r="L276" s="37" t="n">
        <v>3</v>
      </c>
      <c r="M276" s="28" t="n">
        <v>6.14</v>
      </c>
      <c r="N276" s="32" t="inlineStr">
        <is>
          <t>常规备选，放在长尾分类；用低价冲量，不单独投流</t>
        </is>
      </c>
    </row>
    <row r="277">
      <c r="A277" s="25" t="n">
        <v>275</v>
      </c>
      <c r="B277" s="25" t="inlineStr">
        <is>
          <t>夏新</t>
        </is>
      </c>
      <c r="C277" s="35" t="inlineStr">
        <is>
          <t>B</t>
        </is>
      </c>
      <c r="D277" s="26" t="inlineStr">
        <is>
          <t>便携迷你剃须刀</t>
        </is>
      </c>
      <c r="E277" s="26" t="inlineStr">
        <is>
          <t>剃须刀</t>
        </is>
      </c>
      <c r="F277" s="26" t="inlineStr">
        <is>
          <t>夏新/三头剃须刀/银色</t>
        </is>
      </c>
      <c r="G277" s="26" t="inlineStr">
        <is>
          <t>TXD-73</t>
        </is>
      </c>
      <c r="H277" s="29" t="n">
        <v>28</v>
      </c>
      <c r="I277" s="25" t="inlineStr">
        <is>
          <t>¥24–31</t>
        </is>
      </c>
      <c r="J277" s="29" t="n">
        <v>23</v>
      </c>
      <c r="K277" s="29" t="n">
        <v>39</v>
      </c>
      <c r="L277" s="37" t="n">
        <v>3</v>
      </c>
      <c r="M277" s="28" t="n">
        <v>6.14</v>
      </c>
      <c r="N277" s="32" t="inlineStr">
        <is>
          <t>常规备选，放在长尾分类；用低价冲量，不单独投流</t>
        </is>
      </c>
    </row>
    <row r="278">
      <c r="A278" s="25" t="n">
        <v>276</v>
      </c>
      <c r="B278" s="25" t="inlineStr">
        <is>
          <t>夏新</t>
        </is>
      </c>
      <c r="C278" s="35" t="inlineStr">
        <is>
          <t>B</t>
        </is>
      </c>
      <c r="D278" s="26" t="inlineStr">
        <is>
          <t>便携迷你剃须刀</t>
        </is>
      </c>
      <c r="E278" s="26" t="inlineStr">
        <is>
          <t>磁吸双头剃须刀</t>
        </is>
      </c>
      <c r="F278" s="26" t="inlineStr">
        <is>
          <t>夏新/磁吸双头剃须刀/灰色/TXD006</t>
        </is>
      </c>
      <c r="G278" s="26" t="inlineStr">
        <is>
          <t>TXD-89</t>
        </is>
      </c>
      <c r="H278" s="29" t="n">
        <v>28</v>
      </c>
      <c r="I278" s="25" t="inlineStr">
        <is>
          <t>¥24–31</t>
        </is>
      </c>
      <c r="J278" s="29" t="n">
        <v>23</v>
      </c>
      <c r="K278" s="29" t="n">
        <v>39</v>
      </c>
      <c r="L278" s="37" t="n">
        <v>3</v>
      </c>
      <c r="M278" s="28" t="n">
        <v>6.14</v>
      </c>
      <c r="N278" s="32" t="inlineStr">
        <is>
          <t>常规备选，放在长尾分类；用低价冲量，不单独投流</t>
        </is>
      </c>
    </row>
    <row r="279">
      <c r="A279" s="25" t="n">
        <v>277</v>
      </c>
      <c r="B279" s="25" t="inlineStr">
        <is>
          <t>夏新</t>
        </is>
      </c>
      <c r="C279" s="35" t="inlineStr">
        <is>
          <t>B</t>
        </is>
      </c>
      <c r="D279" s="26" t="inlineStr">
        <is>
          <t>便携迷你剃须刀</t>
        </is>
      </c>
      <c r="E279" s="26" t="inlineStr">
        <is>
          <t>双头剃须刀</t>
        </is>
      </c>
      <c r="F279" s="26" t="inlineStr">
        <is>
          <t>夏新/双头剃须刀/红色/TXD032</t>
        </is>
      </c>
      <c r="G279" s="26" t="inlineStr">
        <is>
          <t>TXD-93</t>
        </is>
      </c>
      <c r="H279" s="29" t="n">
        <v>28</v>
      </c>
      <c r="I279" s="25" t="inlineStr">
        <is>
          <t>¥24–31</t>
        </is>
      </c>
      <c r="J279" s="29" t="n">
        <v>23</v>
      </c>
      <c r="K279" s="29" t="n">
        <v>39</v>
      </c>
      <c r="L279" s="37" t="n">
        <v>3</v>
      </c>
      <c r="M279" s="28" t="n">
        <v>6.14</v>
      </c>
      <c r="N279" s="32" t="inlineStr">
        <is>
          <t>常规备选，放在长尾分类；用低价冲量，不单独投流</t>
        </is>
      </c>
    </row>
    <row r="280">
      <c r="A280" s="25" t="n">
        <v>278</v>
      </c>
      <c r="B280" s="25" t="inlineStr">
        <is>
          <t>夏新</t>
        </is>
      </c>
      <c r="C280" s="35" t="inlineStr">
        <is>
          <t>B</t>
        </is>
      </c>
      <c r="D280" s="26" t="inlineStr">
        <is>
          <t>便携迷你剃须刀</t>
        </is>
      </c>
      <c r="E280" s="26" t="inlineStr">
        <is>
          <t>双头剃须刀</t>
        </is>
      </c>
      <c r="F280" s="26" t="inlineStr">
        <is>
          <t>夏新/双头剃须刀/黑色/TXD-602</t>
        </is>
      </c>
      <c r="G280" s="26" t="inlineStr">
        <is>
          <t>TXD-100</t>
        </is>
      </c>
      <c r="H280" s="29" t="n">
        <v>28</v>
      </c>
      <c r="I280" s="25" t="inlineStr">
        <is>
          <t>¥24–31</t>
        </is>
      </c>
      <c r="J280" s="29" t="n">
        <v>23</v>
      </c>
      <c r="K280" s="29" t="n">
        <v>39</v>
      </c>
      <c r="L280" s="37" t="n">
        <v>3</v>
      </c>
      <c r="M280" s="28" t="n">
        <v>6.14</v>
      </c>
      <c r="N280" s="32" t="inlineStr">
        <is>
          <t>常规备选，放在长尾分类；用低价冲量，不单独投流</t>
        </is>
      </c>
    </row>
    <row r="281">
      <c r="A281" s="25" t="n">
        <v>279</v>
      </c>
      <c r="B281" s="25" t="inlineStr">
        <is>
          <t>夏新</t>
        </is>
      </c>
      <c r="C281" s="35" t="inlineStr">
        <is>
          <t>B</t>
        </is>
      </c>
      <c r="D281" s="26" t="inlineStr">
        <is>
          <t>便携迷你剃须刀</t>
        </is>
      </c>
      <c r="E281" s="26" t="inlineStr">
        <is>
          <t>双头剃须刀</t>
        </is>
      </c>
      <c r="F281" s="26" t="inlineStr">
        <is>
          <t>夏新/双头剃须刀/绿色/TXD-602</t>
        </is>
      </c>
      <c r="G281" s="26" t="inlineStr">
        <is>
          <t>TXD-101</t>
        </is>
      </c>
      <c r="H281" s="29" t="n">
        <v>28</v>
      </c>
      <c r="I281" s="25" t="inlineStr">
        <is>
          <t>¥24–31</t>
        </is>
      </c>
      <c r="J281" s="29" t="n">
        <v>23</v>
      </c>
      <c r="K281" s="29" t="n">
        <v>39</v>
      </c>
      <c r="L281" s="37" t="n">
        <v>3</v>
      </c>
      <c r="M281" s="28" t="n">
        <v>6.14</v>
      </c>
      <c r="N281" s="32" t="inlineStr">
        <is>
          <t>常规备选，放在长尾分类；用低价冲量，不单独投流</t>
        </is>
      </c>
    </row>
    <row r="282">
      <c r="A282" s="25" t="n">
        <v>280</v>
      </c>
      <c r="B282" s="25" t="inlineStr">
        <is>
          <t>夏新</t>
        </is>
      </c>
      <c r="C282" s="35" t="inlineStr">
        <is>
          <t>B</t>
        </is>
      </c>
      <c r="D282" s="26" t="inlineStr">
        <is>
          <t>便携迷你剃须刀</t>
        </is>
      </c>
      <c r="E282" s="26" t="inlineStr">
        <is>
          <t>剃须刀</t>
        </is>
      </c>
      <c r="F282" s="26" t="inlineStr">
        <is>
          <t>夏新/数显双头剃须刀/白色/TXD035</t>
        </is>
      </c>
      <c r="G282" s="26" t="inlineStr">
        <is>
          <t>TXD-105</t>
        </is>
      </c>
      <c r="H282" s="29" t="n">
        <v>28</v>
      </c>
      <c r="I282" s="25" t="inlineStr">
        <is>
          <t>¥24–31</t>
        </is>
      </c>
      <c r="J282" s="29" t="n">
        <v>23</v>
      </c>
      <c r="K282" s="29" t="n">
        <v>39</v>
      </c>
      <c r="L282" s="37" t="n">
        <v>3</v>
      </c>
      <c r="M282" s="28" t="n">
        <v>6.14</v>
      </c>
      <c r="N282" s="32" t="inlineStr">
        <is>
          <t>常规备选，放在长尾分类；用低价冲量，不单独投流</t>
        </is>
      </c>
    </row>
    <row r="283">
      <c r="A283" s="25" t="n">
        <v>281</v>
      </c>
      <c r="B283" s="25" t="inlineStr">
        <is>
          <t>夏新</t>
        </is>
      </c>
      <c r="C283" s="35" t="inlineStr">
        <is>
          <t>B</t>
        </is>
      </c>
      <c r="D283" s="26" t="inlineStr">
        <is>
          <t>便携迷你剃须刀</t>
        </is>
      </c>
      <c r="E283" s="26" t="inlineStr">
        <is>
          <t>剃须刀</t>
        </is>
      </c>
      <c r="F283" s="26" t="inlineStr">
        <is>
          <t>夏新/数显双头剃须刀/黑色/TXD035</t>
        </is>
      </c>
      <c r="G283" s="26" t="inlineStr">
        <is>
          <t>TXD-106</t>
        </is>
      </c>
      <c r="H283" s="29" t="n">
        <v>28</v>
      </c>
      <c r="I283" s="25" t="inlineStr">
        <is>
          <t>¥24–31</t>
        </is>
      </c>
      <c r="J283" s="29" t="n">
        <v>23</v>
      </c>
      <c r="K283" s="29" t="n">
        <v>39</v>
      </c>
      <c r="L283" s="37" t="n">
        <v>3</v>
      </c>
      <c r="M283" s="28" t="n">
        <v>6.14</v>
      </c>
      <c r="N283" s="32" t="inlineStr">
        <is>
          <t>常规备选，放在长尾分类；用低价冲量，不单独投流</t>
        </is>
      </c>
    </row>
    <row r="284">
      <c r="A284" s="25" t="n">
        <v>282</v>
      </c>
      <c r="B284" s="25" t="inlineStr">
        <is>
          <t>夏新</t>
        </is>
      </c>
      <c r="C284" s="35" t="inlineStr">
        <is>
          <t>B</t>
        </is>
      </c>
      <c r="D284" s="26" t="inlineStr">
        <is>
          <t>便携迷你剃须刀</t>
        </is>
      </c>
      <c r="E284" s="26" t="inlineStr">
        <is>
          <t>剃须刀</t>
        </is>
      </c>
      <c r="F284" s="26" t="inlineStr">
        <is>
          <t>夏新/数显双头剃须刀/橙色/TXD035</t>
        </is>
      </c>
      <c r="G284" s="26" t="inlineStr">
        <is>
          <t>TXD-107</t>
        </is>
      </c>
      <c r="H284" s="29" t="n">
        <v>28</v>
      </c>
      <c r="I284" s="25" t="inlineStr">
        <is>
          <t>¥24–31</t>
        </is>
      </c>
      <c r="J284" s="29" t="n">
        <v>23</v>
      </c>
      <c r="K284" s="29" t="n">
        <v>39</v>
      </c>
      <c r="L284" s="37" t="n">
        <v>3</v>
      </c>
      <c r="M284" s="28" t="n">
        <v>6.14</v>
      </c>
      <c r="N284" s="32" t="inlineStr">
        <is>
          <t>常规备选，放在长尾分类；用低价冲量，不单独投流</t>
        </is>
      </c>
    </row>
    <row r="285">
      <c r="A285" s="25" t="n">
        <v>283</v>
      </c>
      <c r="B285" s="25" t="inlineStr">
        <is>
          <t>夏新</t>
        </is>
      </c>
      <c r="C285" s="35" t="inlineStr">
        <is>
          <t>B</t>
        </is>
      </c>
      <c r="D285" s="26" t="inlineStr">
        <is>
          <t>便携迷你剃须刀</t>
        </is>
      </c>
      <c r="E285" s="26" t="inlineStr">
        <is>
          <t>剃须刀</t>
        </is>
      </c>
      <c r="F285" s="26" t="inlineStr">
        <is>
          <t>夏新/三合一剃须刀/灰色/T7</t>
        </is>
      </c>
      <c r="G285" s="26" t="inlineStr">
        <is>
          <t>TXD-108</t>
        </is>
      </c>
      <c r="H285" s="29" t="n">
        <v>28</v>
      </c>
      <c r="I285" s="25" t="inlineStr">
        <is>
          <t>¥24–31</t>
        </is>
      </c>
      <c r="J285" s="29" t="n">
        <v>23</v>
      </c>
      <c r="K285" s="29" t="n">
        <v>39</v>
      </c>
      <c r="L285" s="37" t="n">
        <v>3</v>
      </c>
      <c r="M285" s="28" t="n">
        <v>6.14</v>
      </c>
      <c r="N285" s="32" t="inlineStr">
        <is>
          <t>常规备选，放在长尾分类；用低价冲量，不单独投流</t>
        </is>
      </c>
    </row>
    <row r="286">
      <c r="A286" s="25" t="n">
        <v>284</v>
      </c>
      <c r="B286" s="25" t="inlineStr">
        <is>
          <t>夏新</t>
        </is>
      </c>
      <c r="C286" s="35" t="inlineStr">
        <is>
          <t>B</t>
        </is>
      </c>
      <c r="D286" s="26" t="inlineStr">
        <is>
          <t>便携迷你剃须刀</t>
        </is>
      </c>
      <c r="E286" s="26" t="inlineStr">
        <is>
          <t>剃须刀</t>
        </is>
      </c>
      <c r="F286" s="26" t="inlineStr">
        <is>
          <t>夏新/三合一剃须刀/金色/T7</t>
        </is>
      </c>
      <c r="G286" s="26" t="inlineStr">
        <is>
          <t>TXD-109</t>
        </is>
      </c>
      <c r="H286" s="29" t="n">
        <v>28</v>
      </c>
      <c r="I286" s="25" t="inlineStr">
        <is>
          <t>¥24–31</t>
        </is>
      </c>
      <c r="J286" s="29" t="n">
        <v>23</v>
      </c>
      <c r="K286" s="29" t="n">
        <v>39</v>
      </c>
      <c r="L286" s="37" t="n">
        <v>3</v>
      </c>
      <c r="M286" s="28" t="n">
        <v>6.14</v>
      </c>
      <c r="N286" s="32" t="inlineStr">
        <is>
          <t>常规备选，放在长尾分类；用低价冲量，不单独投流</t>
        </is>
      </c>
    </row>
    <row r="287">
      <c r="A287" s="25" t="n">
        <v>285</v>
      </c>
      <c r="B287" s="25" t="inlineStr">
        <is>
          <t>夏新</t>
        </is>
      </c>
      <c r="C287" s="35" t="inlineStr">
        <is>
          <t>B</t>
        </is>
      </c>
      <c r="D287" s="26" t="inlineStr">
        <is>
          <t>便携迷你剃须刀</t>
        </is>
      </c>
      <c r="E287" s="26" t="inlineStr">
        <is>
          <t>剃须刀</t>
        </is>
      </c>
      <c r="F287" s="26" t="inlineStr">
        <is>
          <t>夏新/三合一剃须刀/绿色/T7</t>
        </is>
      </c>
      <c r="G287" s="26" t="inlineStr">
        <is>
          <t>TXD-110</t>
        </is>
      </c>
      <c r="H287" s="29" t="n">
        <v>28</v>
      </c>
      <c r="I287" s="25" t="inlineStr">
        <is>
          <t>¥24–31</t>
        </is>
      </c>
      <c r="J287" s="29" t="n">
        <v>23</v>
      </c>
      <c r="K287" s="29" t="n">
        <v>39</v>
      </c>
      <c r="L287" s="37" t="n">
        <v>3</v>
      </c>
      <c r="M287" s="28" t="n">
        <v>6.14</v>
      </c>
      <c r="N287" s="32" t="inlineStr">
        <is>
          <t>常规备选，放在长尾分类；用低价冲量，不单独投流</t>
        </is>
      </c>
    </row>
    <row r="288">
      <c r="A288" s="25" t="n">
        <v>286</v>
      </c>
      <c r="B288" s="25" t="inlineStr">
        <is>
          <t>夏新</t>
        </is>
      </c>
      <c r="C288" s="35" t="inlineStr">
        <is>
          <t>B</t>
        </is>
      </c>
      <c r="D288" s="26" t="inlineStr">
        <is>
          <t>便携迷你剃须刀</t>
        </is>
      </c>
      <c r="E288" s="26" t="inlineStr">
        <is>
          <t>剃须刀</t>
        </is>
      </c>
      <c r="F288" s="26" t="inlineStr">
        <is>
          <t>夏新/往复式剃须刀/银色/WFS008</t>
        </is>
      </c>
      <c r="G288" s="26" t="inlineStr">
        <is>
          <t>TXD-125</t>
        </is>
      </c>
      <c r="H288" s="29" t="n">
        <v>28</v>
      </c>
      <c r="I288" s="25" t="inlineStr">
        <is>
          <t>¥24–31</t>
        </is>
      </c>
      <c r="J288" s="29" t="n">
        <v>23</v>
      </c>
      <c r="K288" s="29" t="n">
        <v>39</v>
      </c>
      <c r="L288" s="37" t="n">
        <v>3</v>
      </c>
      <c r="M288" s="28" t="n">
        <v>6.14</v>
      </c>
      <c r="N288" s="32" t="inlineStr">
        <is>
          <t>常规备选，放在长尾分类；用低价冲量，不单独投流</t>
        </is>
      </c>
    </row>
    <row r="289">
      <c r="A289" s="25" t="n">
        <v>287</v>
      </c>
      <c r="B289" s="25" t="inlineStr">
        <is>
          <t>夏新</t>
        </is>
      </c>
      <c r="C289" s="35" t="inlineStr">
        <is>
          <t>B</t>
        </is>
      </c>
      <c r="D289" s="26" t="inlineStr">
        <is>
          <t>便携迷你剃须刀</t>
        </is>
      </c>
      <c r="E289" s="26" t="inlineStr">
        <is>
          <t>剃须刀</t>
        </is>
      </c>
      <c r="F289" s="26" t="inlineStr">
        <is>
          <t>夏新/往复式剃须刀/灰色/WFS008</t>
        </is>
      </c>
      <c r="G289" s="26" t="inlineStr">
        <is>
          <t>TXD-124</t>
        </is>
      </c>
      <c r="H289" s="29" t="n">
        <v>28</v>
      </c>
      <c r="I289" s="25" t="inlineStr">
        <is>
          <t>¥24–31</t>
        </is>
      </c>
      <c r="J289" s="29" t="n">
        <v>23</v>
      </c>
      <c r="K289" s="29" t="n">
        <v>39</v>
      </c>
      <c r="L289" s="37" t="n">
        <v>3</v>
      </c>
      <c r="M289" s="28" t="n">
        <v>6.14</v>
      </c>
      <c r="N289" s="32" t="inlineStr">
        <is>
          <t>常规备选，放在长尾分类；用低价冲量，不单独投流</t>
        </is>
      </c>
    </row>
    <row r="290">
      <c r="A290" s="25" t="n">
        <v>288</v>
      </c>
      <c r="B290" s="25" t="inlineStr">
        <is>
          <t>夏新</t>
        </is>
      </c>
      <c r="C290" s="35" t="inlineStr">
        <is>
          <t>B</t>
        </is>
      </c>
      <c r="D290" s="26" t="inlineStr">
        <is>
          <t>便携迷你剃须刀</t>
        </is>
      </c>
      <c r="E290" s="26" t="inlineStr">
        <is>
          <t>剃须刀</t>
        </is>
      </c>
      <c r="F290" s="26" t="inlineStr">
        <is>
          <t>夏新/往复式剃须刀/银色/902-1</t>
        </is>
      </c>
      <c r="G290" s="26" t="inlineStr">
        <is>
          <t>TXD-127</t>
        </is>
      </c>
      <c r="H290" s="29" t="n">
        <v>28</v>
      </c>
      <c r="I290" s="25" t="inlineStr">
        <is>
          <t>¥24–31</t>
        </is>
      </c>
      <c r="J290" s="29" t="n">
        <v>23</v>
      </c>
      <c r="K290" s="29" t="n">
        <v>39</v>
      </c>
      <c r="L290" s="37" t="n">
        <v>3</v>
      </c>
      <c r="M290" s="28" t="n">
        <v>6.14</v>
      </c>
      <c r="N290" s="32" t="inlineStr">
        <is>
          <t>常规备选，放在长尾分类；用低价冲量，不单独投流</t>
        </is>
      </c>
    </row>
    <row r="291">
      <c r="A291" s="25" t="n">
        <v>289</v>
      </c>
      <c r="B291" s="25" t="inlineStr">
        <is>
          <t>夏新</t>
        </is>
      </c>
      <c r="C291" s="35" t="inlineStr">
        <is>
          <t>B</t>
        </is>
      </c>
      <c r="D291" s="26" t="inlineStr">
        <is>
          <t>便携迷你剃须刀</t>
        </is>
      </c>
      <c r="E291" s="26" t="inlineStr">
        <is>
          <t>剃须刀</t>
        </is>
      </c>
      <c r="F291" s="26" t="inlineStr">
        <is>
          <t>夏新/往复式剃须刀/灰色/902-1</t>
        </is>
      </c>
      <c r="G291" s="26" t="inlineStr">
        <is>
          <t>TXD-128</t>
        </is>
      </c>
      <c r="H291" s="29" t="n">
        <v>28</v>
      </c>
      <c r="I291" s="25" t="inlineStr">
        <is>
          <t>¥24–31</t>
        </is>
      </c>
      <c r="J291" s="29" t="n">
        <v>23</v>
      </c>
      <c r="K291" s="29" t="n">
        <v>39</v>
      </c>
      <c r="L291" s="37" t="n">
        <v>3</v>
      </c>
      <c r="M291" s="28" t="n">
        <v>6.14</v>
      </c>
      <c r="N291" s="32" t="inlineStr">
        <is>
          <t>常规备选，放在长尾分类；用低价冲量，不单独投流</t>
        </is>
      </c>
    </row>
    <row r="292">
      <c r="A292" s="25" t="n">
        <v>290</v>
      </c>
      <c r="B292" s="25" t="inlineStr">
        <is>
          <t>夏新</t>
        </is>
      </c>
      <c r="C292" s="35" t="inlineStr">
        <is>
          <t>B</t>
        </is>
      </c>
      <c r="D292" s="26" t="inlineStr">
        <is>
          <t>便携迷你剃须刀</t>
        </is>
      </c>
      <c r="E292" s="26" t="inlineStr">
        <is>
          <t>剃须刀</t>
        </is>
      </c>
      <c r="F292" s="26" t="inlineStr">
        <is>
          <t>夏新/多功能剃须刀/灰色/KTXD53-0510</t>
        </is>
      </c>
      <c r="G292" s="26" t="inlineStr">
        <is>
          <t>TXD-131</t>
        </is>
      </c>
      <c r="H292" s="29" t="n">
        <v>28</v>
      </c>
      <c r="I292" s="25" t="inlineStr">
        <is>
          <t>¥24–31</t>
        </is>
      </c>
      <c r="J292" s="29" t="n">
        <v>23</v>
      </c>
      <c r="K292" s="29" t="n">
        <v>39</v>
      </c>
      <c r="L292" s="37" t="n">
        <v>3</v>
      </c>
      <c r="M292" s="28" t="n">
        <v>6.14</v>
      </c>
      <c r="N292" s="32" t="inlineStr">
        <is>
          <t>常规备选，放在长尾分类；用低价冲量，不单独投流</t>
        </is>
      </c>
    </row>
    <row r="293">
      <c r="A293" s="25" t="n">
        <v>291</v>
      </c>
      <c r="B293" s="25" t="inlineStr">
        <is>
          <t>夏新</t>
        </is>
      </c>
      <c r="C293" s="35" t="inlineStr">
        <is>
          <t>B</t>
        </is>
      </c>
      <c r="D293" s="26" t="inlineStr">
        <is>
          <t>便携迷你剃须刀</t>
        </is>
      </c>
      <c r="E293" s="26" t="inlineStr">
        <is>
          <t>剃须刀</t>
        </is>
      </c>
      <c r="F293" s="26" t="inlineStr">
        <is>
          <t>夏新/多功能剃须刀/银色/KTXD53-0510</t>
        </is>
      </c>
      <c r="G293" s="26" t="inlineStr">
        <is>
          <t>TXD-132</t>
        </is>
      </c>
      <c r="H293" s="29" t="n">
        <v>28</v>
      </c>
      <c r="I293" s="25" t="inlineStr">
        <is>
          <t>¥24–31</t>
        </is>
      </c>
      <c r="J293" s="29" t="n">
        <v>23</v>
      </c>
      <c r="K293" s="29" t="n">
        <v>39</v>
      </c>
      <c r="L293" s="37" t="n">
        <v>3</v>
      </c>
      <c r="M293" s="28" t="n">
        <v>6.14</v>
      </c>
      <c r="N293" s="32" t="inlineStr">
        <is>
          <t>常规备选，放在长尾分类；用低价冲量，不单独投流</t>
        </is>
      </c>
    </row>
    <row r="294">
      <c r="A294" s="25" t="n">
        <v>292</v>
      </c>
      <c r="B294" s="25" t="inlineStr">
        <is>
          <t>夏新</t>
        </is>
      </c>
      <c r="C294" s="35" t="inlineStr">
        <is>
          <t>B</t>
        </is>
      </c>
      <c r="D294" s="26" t="inlineStr">
        <is>
          <t>便携迷你剃须刀</t>
        </is>
      </c>
      <c r="E294" s="26" t="inlineStr">
        <is>
          <t>剃须刀</t>
        </is>
      </c>
      <c r="F294" s="26" t="inlineStr">
        <is>
          <t>夏新/多功能剃须刀/JY-01T</t>
        </is>
      </c>
      <c r="G294" s="26" t="inlineStr">
        <is>
          <t>TXD-135</t>
        </is>
      </c>
      <c r="H294" s="29" t="n">
        <v>28</v>
      </c>
      <c r="I294" s="25" t="inlineStr">
        <is>
          <t>¥24–31</t>
        </is>
      </c>
      <c r="J294" s="29" t="n">
        <v>23</v>
      </c>
      <c r="K294" s="29" t="n">
        <v>39</v>
      </c>
      <c r="L294" s="37" t="n">
        <v>3</v>
      </c>
      <c r="M294" s="28" t="n">
        <v>6.14</v>
      </c>
      <c r="N294" s="32" t="inlineStr">
        <is>
          <t>常规备选，放在长尾分类；用低价冲量，不单独投流</t>
        </is>
      </c>
    </row>
    <row r="295">
      <c r="A295" s="25" t="n">
        <v>293</v>
      </c>
      <c r="B295" s="25" t="inlineStr">
        <is>
          <t>夏新</t>
        </is>
      </c>
      <c r="C295" s="35" t="inlineStr">
        <is>
          <t>B</t>
        </is>
      </c>
      <c r="D295" s="26" t="inlineStr">
        <is>
          <t>便携迷你剃须刀</t>
        </is>
      </c>
      <c r="E295" s="26" t="inlineStr">
        <is>
          <t>剃须刀</t>
        </is>
      </c>
      <c r="F295" s="26" t="inlineStr">
        <is>
          <t>夏新/三头剃须刀/黑色/MINI-S3</t>
        </is>
      </c>
      <c r="G295" s="26" t="inlineStr">
        <is>
          <t>TXD-143</t>
        </is>
      </c>
      <c r="H295" s="29" t="n">
        <v>28</v>
      </c>
      <c r="I295" s="25" t="inlineStr">
        <is>
          <t>¥24–31</t>
        </is>
      </c>
      <c r="J295" s="29" t="n">
        <v>23</v>
      </c>
      <c r="K295" s="29" t="n">
        <v>39</v>
      </c>
      <c r="L295" s="37" t="n">
        <v>3</v>
      </c>
      <c r="M295" s="28" t="n">
        <v>6.14</v>
      </c>
      <c r="N295" s="32" t="inlineStr">
        <is>
          <t>常规备选，放在长尾分类；用低价冲量，不单独投流</t>
        </is>
      </c>
    </row>
    <row r="296">
      <c r="A296" s="25" t="n">
        <v>294</v>
      </c>
      <c r="B296" s="25" t="inlineStr">
        <is>
          <t>夏新</t>
        </is>
      </c>
      <c r="C296" s="35" t="inlineStr">
        <is>
          <t>B</t>
        </is>
      </c>
      <c r="D296" s="26" t="inlineStr">
        <is>
          <t>便携迷你剃须刀</t>
        </is>
      </c>
      <c r="E296" s="26" t="inlineStr">
        <is>
          <t>剃须刀</t>
        </is>
      </c>
      <c r="F296" s="26" t="inlineStr">
        <is>
          <t>夏新/三头剃须刀/白色/MINI-S3</t>
        </is>
      </c>
      <c r="G296" s="26" t="inlineStr">
        <is>
          <t>TXD-144</t>
        </is>
      </c>
      <c r="H296" s="29" t="n">
        <v>28</v>
      </c>
      <c r="I296" s="25" t="inlineStr">
        <is>
          <t>¥24–31</t>
        </is>
      </c>
      <c r="J296" s="29" t="n">
        <v>23</v>
      </c>
      <c r="K296" s="29" t="n">
        <v>39</v>
      </c>
      <c r="L296" s="37" t="n">
        <v>3</v>
      </c>
      <c r="M296" s="28" t="n">
        <v>6.14</v>
      </c>
      <c r="N296" s="32" t="inlineStr">
        <is>
          <t>常规备选，放在长尾分类；用低价冲量，不单独投流</t>
        </is>
      </c>
    </row>
    <row r="297">
      <c r="A297" s="25" t="n">
        <v>295</v>
      </c>
      <c r="B297" s="25" t="inlineStr">
        <is>
          <t>夏新</t>
        </is>
      </c>
      <c r="C297" s="35" t="inlineStr">
        <is>
          <t>B</t>
        </is>
      </c>
      <c r="D297" s="26" t="inlineStr">
        <is>
          <t>便携迷你剃须刀</t>
        </is>
      </c>
      <c r="E297" s="26" t="inlineStr">
        <is>
          <t>剃须刀</t>
        </is>
      </c>
      <c r="F297" s="26" t="inlineStr">
        <is>
          <t>夏新/三头剃须刀/橙色/MINI-S3</t>
        </is>
      </c>
      <c r="G297" s="26" t="inlineStr">
        <is>
          <t>TXD-145</t>
        </is>
      </c>
      <c r="H297" s="29" t="n">
        <v>28</v>
      </c>
      <c r="I297" s="25" t="inlineStr">
        <is>
          <t>¥24–31</t>
        </is>
      </c>
      <c r="J297" s="29" t="n">
        <v>23</v>
      </c>
      <c r="K297" s="29" t="n">
        <v>39</v>
      </c>
      <c r="L297" s="37" t="n">
        <v>3</v>
      </c>
      <c r="M297" s="28" t="n">
        <v>6.14</v>
      </c>
      <c r="N297" s="32" t="inlineStr">
        <is>
          <t>常规备选，放在长尾分类；用低价冲量，不单独投流</t>
        </is>
      </c>
    </row>
    <row r="298">
      <c r="A298" s="25" t="n">
        <v>296</v>
      </c>
      <c r="B298" s="25" t="inlineStr">
        <is>
          <t>奥克斯</t>
        </is>
      </c>
      <c r="C298" s="35" t="inlineStr">
        <is>
          <t>B</t>
        </is>
      </c>
      <c r="D298" s="26" t="inlineStr">
        <is>
          <t>便携迷你剃须刀</t>
        </is>
      </c>
      <c r="E298" s="26" t="inlineStr">
        <is>
          <t>剃须刀</t>
        </is>
      </c>
      <c r="F298" s="26" t="inlineStr">
        <is>
          <t>奥克斯/双头剃须刀/银灰色/ARS-SD-X12</t>
        </is>
      </c>
      <c r="G298" s="26" t="inlineStr">
        <is>
          <t>TXD-120</t>
        </is>
      </c>
      <c r="H298" s="29" t="n">
        <v>28</v>
      </c>
      <c r="I298" s="25" t="inlineStr">
        <is>
          <t>¥24–31</t>
        </is>
      </c>
      <c r="J298" s="29" t="n">
        <v>23</v>
      </c>
      <c r="K298" s="29" t="n">
        <v>39</v>
      </c>
      <c r="L298" s="37" t="n">
        <v>3</v>
      </c>
      <c r="M298" s="28" t="n">
        <v>6.14</v>
      </c>
      <c r="N298" s="32" t="inlineStr">
        <is>
          <t>常规备选，放在长尾分类；用低价冲量，不单独投流</t>
        </is>
      </c>
    </row>
    <row r="299">
      <c r="A299" s="25" t="n">
        <v>297</v>
      </c>
      <c r="B299" s="25" t="inlineStr">
        <is>
          <t>奥克斯</t>
        </is>
      </c>
      <c r="C299" s="35" t="inlineStr">
        <is>
          <t>B</t>
        </is>
      </c>
      <c r="D299" s="26" t="inlineStr">
        <is>
          <t>便携迷你剃须刀</t>
        </is>
      </c>
      <c r="E299" s="26" t="inlineStr">
        <is>
          <t>剃须刀</t>
        </is>
      </c>
      <c r="F299" s="26" t="inlineStr">
        <is>
          <t>奥克斯/双头剃须刀/橙色/ARS-SD-X12</t>
        </is>
      </c>
      <c r="G299" s="26" t="inlineStr">
        <is>
          <t>TXD-121</t>
        </is>
      </c>
      <c r="H299" s="29" t="n">
        <v>28</v>
      </c>
      <c r="I299" s="25" t="inlineStr">
        <is>
          <t>¥24–31</t>
        </is>
      </c>
      <c r="J299" s="29" t="n">
        <v>23</v>
      </c>
      <c r="K299" s="29" t="n">
        <v>39</v>
      </c>
      <c r="L299" s="37" t="n">
        <v>3</v>
      </c>
      <c r="M299" s="28" t="n">
        <v>6.14</v>
      </c>
      <c r="N299" s="32" t="inlineStr">
        <is>
          <t>常规备选，放在长尾分类；用低价冲量，不单独投流</t>
        </is>
      </c>
    </row>
    <row r="300">
      <c r="A300" s="25" t="n">
        <v>298</v>
      </c>
      <c r="B300" s="25" t="inlineStr">
        <is>
          <t>mericle</t>
        </is>
      </c>
      <c r="C300" s="35" t="inlineStr">
        <is>
          <t>B</t>
        </is>
      </c>
      <c r="D300" s="26" t="inlineStr">
        <is>
          <t>电动牙刷</t>
        </is>
      </c>
      <c r="E300" s="26" t="inlineStr">
        <is>
          <t>电动牙刷</t>
        </is>
      </c>
      <c r="F300" s="26" t="inlineStr">
        <is>
          <t>Mericle/电动牙刷/白色</t>
        </is>
      </c>
      <c r="G300" s="26" t="inlineStr">
        <is>
          <t>Mericle-DDYS-01</t>
        </is>
      </c>
      <c r="H300" s="29" t="n">
        <v>28</v>
      </c>
      <c r="I300" s="25" t="inlineStr">
        <is>
          <t>¥14–41</t>
        </is>
      </c>
      <c r="J300" s="29" t="n">
        <v>13</v>
      </c>
      <c r="K300" s="29" t="n">
        <v>56</v>
      </c>
      <c r="L300" s="37" t="n">
        <v>3</v>
      </c>
      <c r="M300" s="28" t="n">
        <v>6.13</v>
      </c>
      <c r="N300" s="32" t="inlineStr">
        <is>
          <t>常规备选，放在长尾分类；用低价冲量，不单独投流</t>
        </is>
      </c>
    </row>
    <row r="301">
      <c r="A301" s="25" t="n">
        <v>299</v>
      </c>
      <c r="B301" s="25" t="inlineStr">
        <is>
          <t>康佳</t>
        </is>
      </c>
      <c r="C301" s="35" t="inlineStr">
        <is>
          <t>B</t>
        </is>
      </c>
      <c r="D301" s="26" t="inlineStr">
        <is>
          <t>电动牙刷</t>
        </is>
      </c>
      <c r="E301" s="26" t="inlineStr">
        <is>
          <t>电动牙刷</t>
        </is>
      </c>
      <c r="F301" s="26" t="inlineStr">
        <is>
          <t>康佳/儿童牙刷/蓝色</t>
        </is>
      </c>
      <c r="G301" s="26" t="inlineStr">
        <is>
          <t>KJ-ETYS-L</t>
        </is>
      </c>
      <c r="H301" s="29" t="n">
        <v>28</v>
      </c>
      <c r="I301" s="25" t="inlineStr">
        <is>
          <t>¥14–41</t>
        </is>
      </c>
      <c r="J301" s="29" t="n">
        <v>13</v>
      </c>
      <c r="K301" s="29" t="n">
        <v>56</v>
      </c>
      <c r="L301" s="37" t="n">
        <v>3</v>
      </c>
      <c r="M301" s="28" t="n">
        <v>6.13</v>
      </c>
      <c r="N301" s="32" t="inlineStr">
        <is>
          <t>常规备选，放在长尾分类；用低价冲量，不单独投流</t>
        </is>
      </c>
    </row>
    <row r="302">
      <c r="A302" s="25" t="n">
        <v>300</v>
      </c>
      <c r="B302" s="25" t="inlineStr">
        <is>
          <t>康佳</t>
        </is>
      </c>
      <c r="C302" s="35" t="inlineStr">
        <is>
          <t>B</t>
        </is>
      </c>
      <c r="D302" s="26" t="inlineStr">
        <is>
          <t>电动牙刷</t>
        </is>
      </c>
      <c r="E302" s="26" t="inlineStr">
        <is>
          <t>电动牙刷</t>
        </is>
      </c>
      <c r="F302" s="26" t="inlineStr">
        <is>
          <t>康佳/儿童牙刷/粉色</t>
        </is>
      </c>
      <c r="G302" s="26" t="inlineStr">
        <is>
          <t>KJ-ETYS-F</t>
        </is>
      </c>
      <c r="H302" s="29" t="n">
        <v>28</v>
      </c>
      <c r="I302" s="25" t="inlineStr">
        <is>
          <t>¥14–41</t>
        </is>
      </c>
      <c r="J302" s="29" t="n">
        <v>13</v>
      </c>
      <c r="K302" s="29" t="n">
        <v>56</v>
      </c>
      <c r="L302" s="37" t="n">
        <v>3</v>
      </c>
      <c r="M302" s="28" t="n">
        <v>6.13</v>
      </c>
      <c r="N302" s="32" t="inlineStr">
        <is>
          <t>常规备选，放在长尾分类；用低价冲量，不单独投流</t>
        </is>
      </c>
    </row>
    <row r="303">
      <c r="A303" s="25" t="n">
        <v>301</v>
      </c>
      <c r="B303" s="25" t="inlineStr">
        <is>
          <t>康佳</t>
        </is>
      </c>
      <c r="C303" s="35" t="inlineStr">
        <is>
          <t>B</t>
        </is>
      </c>
      <c r="D303" s="26" t="inlineStr">
        <is>
          <t>电动牙刷</t>
        </is>
      </c>
      <c r="E303" s="26" t="inlineStr">
        <is>
          <t>康佳电动牙刷</t>
        </is>
      </c>
      <c r="F303" s="26" t="inlineStr">
        <is>
          <t>康佳/儿童电动牙刷/蓝色/KDYS-0340-T</t>
        </is>
      </c>
      <c r="G303" s="26" t="inlineStr">
        <is>
          <t>KJ-ETYS-01</t>
        </is>
      </c>
      <c r="H303" s="29" t="n">
        <v>28</v>
      </c>
      <c r="I303" s="25" t="inlineStr">
        <is>
          <t>¥14–41</t>
        </is>
      </c>
      <c r="J303" s="29" t="n">
        <v>13</v>
      </c>
      <c r="K303" s="29" t="n">
        <v>56</v>
      </c>
      <c r="L303" s="37" t="n">
        <v>3</v>
      </c>
      <c r="M303" s="28" t="n">
        <v>6.13</v>
      </c>
      <c r="N303" s="32" t="inlineStr">
        <is>
          <t>常规备选，放在长尾分类；用低价冲量，不单独投流</t>
        </is>
      </c>
    </row>
    <row r="304">
      <c r="A304" s="25" t="n">
        <v>302</v>
      </c>
      <c r="B304" s="25" t="inlineStr">
        <is>
          <t>康佳</t>
        </is>
      </c>
      <c r="C304" s="35" t="inlineStr">
        <is>
          <t>B</t>
        </is>
      </c>
      <c r="D304" s="26" t="inlineStr">
        <is>
          <t>电动牙刷</t>
        </is>
      </c>
      <c r="E304" s="26" t="inlineStr">
        <is>
          <t>康佳电动牙刷</t>
        </is>
      </c>
      <c r="F304" s="26" t="inlineStr">
        <is>
          <t>康佳/儿童电动牙刷/粉色/KDYS-0340-T</t>
        </is>
      </c>
      <c r="G304" s="26" t="inlineStr">
        <is>
          <t>KJ-ETYS-02</t>
        </is>
      </c>
      <c r="H304" s="29" t="n">
        <v>28</v>
      </c>
      <c r="I304" s="25" t="inlineStr">
        <is>
          <t>¥14–41</t>
        </is>
      </c>
      <c r="J304" s="29" t="n">
        <v>13</v>
      </c>
      <c r="K304" s="29" t="n">
        <v>56</v>
      </c>
      <c r="L304" s="37" t="n">
        <v>3</v>
      </c>
      <c r="M304" s="28" t="n">
        <v>6.13</v>
      </c>
      <c r="N304" s="32" t="inlineStr">
        <is>
          <t>常规备选，放在长尾分类；用低价冲量，不单独投流</t>
        </is>
      </c>
    </row>
    <row r="305">
      <c r="A305" s="25" t="n">
        <v>303</v>
      </c>
      <c r="B305" s="25" t="inlineStr">
        <is>
          <t>康佳</t>
        </is>
      </c>
      <c r="C305" s="35" t="inlineStr">
        <is>
          <t>B</t>
        </is>
      </c>
      <c r="D305" s="26" t="inlineStr">
        <is>
          <t>电动牙刷</t>
        </is>
      </c>
      <c r="E305" s="26" t="inlineStr">
        <is>
          <t>康佳电动牙刷</t>
        </is>
      </c>
      <c r="F305" s="26" t="inlineStr">
        <is>
          <t>康佳/儿童电动牙刷/绿色/KDYS-0340-T</t>
        </is>
      </c>
      <c r="G305" s="26" t="inlineStr">
        <is>
          <t>KJ-ETYS-03</t>
        </is>
      </c>
      <c r="H305" s="29" t="n">
        <v>28</v>
      </c>
      <c r="I305" s="25" t="inlineStr">
        <is>
          <t>¥14–41</t>
        </is>
      </c>
      <c r="J305" s="29" t="n">
        <v>13</v>
      </c>
      <c r="K305" s="29" t="n">
        <v>56</v>
      </c>
      <c r="L305" s="37" t="n">
        <v>3</v>
      </c>
      <c r="M305" s="28" t="n">
        <v>6.13</v>
      </c>
      <c r="N305" s="32" t="inlineStr">
        <is>
          <t>常规备选，放在长尾分类；用低价冲量，不单独投流</t>
        </is>
      </c>
    </row>
    <row r="306">
      <c r="A306" s="25" t="n">
        <v>304</v>
      </c>
      <c r="B306" s="25" t="inlineStr">
        <is>
          <t>康佳</t>
        </is>
      </c>
      <c r="C306" s="35" t="inlineStr">
        <is>
          <t>B</t>
        </is>
      </c>
      <c r="D306" s="26" t="inlineStr">
        <is>
          <t>电动牙刷</t>
        </is>
      </c>
      <c r="E306" s="26" t="inlineStr">
        <is>
          <t>电动牙刷</t>
        </is>
      </c>
      <c r="F306" s="26" t="inlineStr">
        <is>
          <t>康佳/小星钻电动牙刷/银色/KDYS-0326-T</t>
        </is>
      </c>
      <c r="G306" s="26" t="inlineStr">
        <is>
          <t>KJ-ETYS-04</t>
        </is>
      </c>
      <c r="H306" s="29" t="n">
        <v>28</v>
      </c>
      <c r="I306" s="25" t="inlineStr">
        <is>
          <t>¥14–41</t>
        </is>
      </c>
      <c r="J306" s="29" t="n">
        <v>13</v>
      </c>
      <c r="K306" s="29" t="n">
        <v>56</v>
      </c>
      <c r="L306" s="37" t="n">
        <v>3</v>
      </c>
      <c r="M306" s="28" t="n">
        <v>6.13</v>
      </c>
      <c r="N306" s="32" t="inlineStr">
        <is>
          <t>常规备选，放在长尾分类；用低价冲量，不单独投流</t>
        </is>
      </c>
    </row>
    <row r="307">
      <c r="A307" s="25" t="n">
        <v>305</v>
      </c>
      <c r="B307" s="25" t="inlineStr">
        <is>
          <t>康佳</t>
        </is>
      </c>
      <c r="C307" s="35" t="inlineStr">
        <is>
          <t>B</t>
        </is>
      </c>
      <c r="D307" s="26" t="inlineStr">
        <is>
          <t>电动牙刷</t>
        </is>
      </c>
      <c r="E307" s="26" t="inlineStr">
        <is>
          <t>电动牙刷</t>
        </is>
      </c>
      <c r="F307" s="26" t="inlineStr">
        <is>
          <t>康佳/小星钻电动牙刷/紫色/KDYS-0326-T</t>
        </is>
      </c>
      <c r="G307" s="26" t="inlineStr">
        <is>
          <t>KJ-ETYS-05</t>
        </is>
      </c>
      <c r="H307" s="29" t="n">
        <v>28</v>
      </c>
      <c r="I307" s="25" t="inlineStr">
        <is>
          <t>¥14–41</t>
        </is>
      </c>
      <c r="J307" s="29" t="n">
        <v>13</v>
      </c>
      <c r="K307" s="29" t="n">
        <v>56</v>
      </c>
      <c r="L307" s="37" t="n">
        <v>3</v>
      </c>
      <c r="M307" s="28" t="n">
        <v>6.13</v>
      </c>
      <c r="N307" s="32" t="inlineStr">
        <is>
          <t>常规备选，放在长尾分类；用低价冲量，不单独投流</t>
        </is>
      </c>
    </row>
    <row r="308">
      <c r="A308" s="25" t="n">
        <v>306</v>
      </c>
      <c r="B308" s="25" t="inlineStr">
        <is>
          <t>美悟</t>
        </is>
      </c>
      <c r="C308" s="35" t="inlineStr">
        <is>
          <t>B</t>
        </is>
      </c>
      <c r="D308" s="26" t="inlineStr">
        <is>
          <t>电动牙刷</t>
        </is>
      </c>
      <c r="E308" s="26" t="inlineStr">
        <is>
          <t>美悟声波电动牙刷</t>
        </is>
      </c>
      <c r="F308" s="26" t="inlineStr">
        <is>
          <t>美悟声波电动牙刷 / 白色</t>
        </is>
      </c>
      <c r="G308" s="26" t="inlineStr">
        <is>
          <t>SBDDYS-02</t>
        </is>
      </c>
      <c r="H308" s="29" t="n">
        <v>28</v>
      </c>
      <c r="I308" s="25" t="inlineStr">
        <is>
          <t>¥14–41</t>
        </is>
      </c>
      <c r="J308" s="29" t="n">
        <v>13</v>
      </c>
      <c r="K308" s="29" t="n">
        <v>56</v>
      </c>
      <c r="L308" s="37" t="n">
        <v>3</v>
      </c>
      <c r="M308" s="28" t="n">
        <v>6.13</v>
      </c>
      <c r="N308" s="32" t="inlineStr">
        <is>
          <t>常规备选，放在长尾分类；用低价冲量，不单独投流</t>
        </is>
      </c>
    </row>
    <row r="309">
      <c r="A309" s="25" t="n">
        <v>307</v>
      </c>
      <c r="B309" s="25" t="inlineStr">
        <is>
          <t>美悟</t>
        </is>
      </c>
      <c r="C309" s="35" t="inlineStr">
        <is>
          <t>B</t>
        </is>
      </c>
      <c r="D309" s="26" t="inlineStr">
        <is>
          <t>电动牙刷</t>
        </is>
      </c>
      <c r="E309" s="26" t="inlineStr">
        <is>
          <t>美悟声波电动牙刷</t>
        </is>
      </c>
      <c r="F309" s="26" t="inlineStr">
        <is>
          <t>美悟声波电动牙刷 / 粉色</t>
        </is>
      </c>
      <c r="G309" s="26" t="inlineStr">
        <is>
          <t>SBDDYS-03</t>
        </is>
      </c>
      <c r="H309" s="29" t="n">
        <v>28</v>
      </c>
      <c r="I309" s="25" t="inlineStr">
        <is>
          <t>¥14–41</t>
        </is>
      </c>
      <c r="J309" s="29" t="n">
        <v>13</v>
      </c>
      <c r="K309" s="29" t="n">
        <v>56</v>
      </c>
      <c r="L309" s="37" t="n">
        <v>3</v>
      </c>
      <c r="M309" s="28" t="n">
        <v>6.13</v>
      </c>
      <c r="N309" s="32" t="inlineStr">
        <is>
          <t>常规备选，放在长尾分类；用低价冲量，不单独投流</t>
        </is>
      </c>
    </row>
    <row r="310">
      <c r="A310" s="25" t="n">
        <v>308</v>
      </c>
      <c r="B310" s="25" t="inlineStr">
        <is>
          <t>美悟</t>
        </is>
      </c>
      <c r="C310" s="35" t="inlineStr">
        <is>
          <t>B</t>
        </is>
      </c>
      <c r="D310" s="26" t="inlineStr">
        <is>
          <t>电动牙刷</t>
        </is>
      </c>
      <c r="E310" s="26" t="inlineStr">
        <is>
          <t>美悟声波电动牙刷</t>
        </is>
      </c>
      <c r="F310" s="26" t="inlineStr">
        <is>
          <t>美悟声波电动牙刷 / 绿色</t>
        </is>
      </c>
      <c r="G310" s="26" t="inlineStr">
        <is>
          <t>SBDDYS-04</t>
        </is>
      </c>
      <c r="H310" s="29" t="n">
        <v>28</v>
      </c>
      <c r="I310" s="25" t="inlineStr">
        <is>
          <t>¥14–41</t>
        </is>
      </c>
      <c r="J310" s="29" t="n">
        <v>13</v>
      </c>
      <c r="K310" s="29" t="n">
        <v>56</v>
      </c>
      <c r="L310" s="37" t="n">
        <v>3</v>
      </c>
      <c r="M310" s="28" t="n">
        <v>6.13</v>
      </c>
      <c r="N310" s="32" t="inlineStr">
        <is>
          <t>常规备选，放在长尾分类；用低价冲量，不单独投流</t>
        </is>
      </c>
    </row>
    <row r="311">
      <c r="A311" s="25" t="n">
        <v>309</v>
      </c>
      <c r="B311" s="25" t="inlineStr">
        <is>
          <t>美悟</t>
        </is>
      </c>
      <c r="C311" s="35" t="inlineStr">
        <is>
          <t>B</t>
        </is>
      </c>
      <c r="D311" s="26" t="inlineStr">
        <is>
          <t>电动牙刷</t>
        </is>
      </c>
      <c r="E311" s="26" t="inlineStr">
        <is>
          <t>电动牙刷</t>
        </is>
      </c>
      <c r="F311" s="26" t="inlineStr">
        <is>
          <t>美悟/小星钻电动牙刷/银色/MY-001</t>
        </is>
      </c>
      <c r="G311" s="26" t="inlineStr">
        <is>
          <t>DDYS-05</t>
        </is>
      </c>
      <c r="H311" s="29" t="n">
        <v>28</v>
      </c>
      <c r="I311" s="25" t="inlineStr">
        <is>
          <t>¥14–41</t>
        </is>
      </c>
      <c r="J311" s="29" t="n">
        <v>13</v>
      </c>
      <c r="K311" s="29" t="n">
        <v>56</v>
      </c>
      <c r="L311" s="37" t="n">
        <v>3</v>
      </c>
      <c r="M311" s="28" t="n">
        <v>6.13</v>
      </c>
      <c r="N311" s="32" t="inlineStr">
        <is>
          <t>常规备选，放在长尾分类；用低价冲量，不单独投流</t>
        </is>
      </c>
    </row>
    <row r="312">
      <c r="A312" s="25" t="n">
        <v>310</v>
      </c>
      <c r="B312" s="25" t="inlineStr">
        <is>
          <t>美悟</t>
        </is>
      </c>
      <c r="C312" s="35" t="inlineStr">
        <is>
          <t>B</t>
        </is>
      </c>
      <c r="D312" s="26" t="inlineStr">
        <is>
          <t>电动牙刷</t>
        </is>
      </c>
      <c r="E312" s="26" t="inlineStr">
        <is>
          <t>电动牙刷</t>
        </is>
      </c>
      <c r="F312" s="26" t="inlineStr">
        <is>
          <t>美悟/小星钻电动牙刷/紫色/MY-001</t>
        </is>
      </c>
      <c r="G312" s="26" t="inlineStr">
        <is>
          <t>DDYS-06</t>
        </is>
      </c>
      <c r="H312" s="29" t="n">
        <v>28</v>
      </c>
      <c r="I312" s="25" t="inlineStr">
        <is>
          <t>¥14–41</t>
        </is>
      </c>
      <c r="J312" s="29" t="n">
        <v>13</v>
      </c>
      <c r="K312" s="29" t="n">
        <v>56</v>
      </c>
      <c r="L312" s="37" t="n">
        <v>3</v>
      </c>
      <c r="M312" s="28" t="n">
        <v>6.13</v>
      </c>
      <c r="N312" s="32" t="inlineStr">
        <is>
          <t>常规备选，放在长尾分类；用低价冲量，不单独投流</t>
        </is>
      </c>
    </row>
    <row r="313">
      <c r="A313" s="25" t="n">
        <v>311</v>
      </c>
      <c r="B313" s="25" t="inlineStr">
        <is>
          <t>美悟</t>
        </is>
      </c>
      <c r="C313" s="35" t="inlineStr">
        <is>
          <t>B</t>
        </is>
      </c>
      <c r="D313" s="26" t="inlineStr">
        <is>
          <t>电动牙刷</t>
        </is>
      </c>
      <c r="E313" s="26" t="inlineStr">
        <is>
          <t>电动牙刷</t>
        </is>
      </c>
      <c r="F313" s="26" t="inlineStr">
        <is>
          <t>美悟/儿童电动牙刷/蓝色/DDYS-0340-T</t>
        </is>
      </c>
      <c r="G313" s="26" t="inlineStr">
        <is>
          <t>ETYS-04</t>
        </is>
      </c>
      <c r="H313" s="29" t="n">
        <v>28</v>
      </c>
      <c r="I313" s="25" t="inlineStr">
        <is>
          <t>¥14–41</t>
        </is>
      </c>
      <c r="J313" s="29" t="n">
        <v>13</v>
      </c>
      <c r="K313" s="29" t="n">
        <v>56</v>
      </c>
      <c r="L313" s="37" t="n">
        <v>3</v>
      </c>
      <c r="M313" s="28" t="n">
        <v>6.13</v>
      </c>
      <c r="N313" s="32" t="inlineStr">
        <is>
          <t>常规备选，放在长尾分类；用低价冲量，不单独投流</t>
        </is>
      </c>
    </row>
    <row r="314">
      <c r="A314" s="25" t="n">
        <v>312</v>
      </c>
      <c r="B314" s="25" t="inlineStr">
        <is>
          <t>美悟</t>
        </is>
      </c>
      <c r="C314" s="35" t="inlineStr">
        <is>
          <t>B</t>
        </is>
      </c>
      <c r="D314" s="26" t="inlineStr">
        <is>
          <t>电动牙刷</t>
        </is>
      </c>
      <c r="E314" s="26" t="inlineStr">
        <is>
          <t>电动牙刷</t>
        </is>
      </c>
      <c r="F314" s="26" t="inlineStr">
        <is>
          <t>美悟/儿童电动牙刷/粉色/DDYS-0340-T</t>
        </is>
      </c>
      <c r="G314" s="26" t="inlineStr">
        <is>
          <t>ETYS-05</t>
        </is>
      </c>
      <c r="H314" s="29" t="n">
        <v>28</v>
      </c>
      <c r="I314" s="25" t="inlineStr">
        <is>
          <t>¥14–41</t>
        </is>
      </c>
      <c r="J314" s="29" t="n">
        <v>13</v>
      </c>
      <c r="K314" s="29" t="n">
        <v>56</v>
      </c>
      <c r="L314" s="37" t="n">
        <v>3</v>
      </c>
      <c r="M314" s="28" t="n">
        <v>6.13</v>
      </c>
      <c r="N314" s="32" t="inlineStr">
        <is>
          <t>常规备选，放在长尾分类；用低价冲量，不单独投流</t>
        </is>
      </c>
    </row>
    <row r="315">
      <c r="A315" s="25" t="n">
        <v>313</v>
      </c>
      <c r="B315" s="25" t="inlineStr">
        <is>
          <t>通货</t>
        </is>
      </c>
      <c r="C315" s="35" t="inlineStr">
        <is>
          <t>B</t>
        </is>
      </c>
      <c r="D315" s="26" t="inlineStr">
        <is>
          <t>手足皲裂膏</t>
        </is>
      </c>
      <c r="E315" s="26" t="inlineStr">
        <is>
          <t>手足皲裂膏</t>
        </is>
      </c>
      <c r="F315" s="26" t="inlineStr">
        <is>
          <t>丝幕手足皲裂膏30g</t>
        </is>
      </c>
      <c r="G315" s="26" t="inlineStr">
        <is>
          <t>RHXHS-01</t>
        </is>
      </c>
      <c r="H315" s="29" t="n">
        <v>12</v>
      </c>
      <c r="I315" s="25" t="inlineStr">
        <is>
          <t>¥9–16</t>
        </is>
      </c>
      <c r="J315" s="29" t="n">
        <v>9</v>
      </c>
      <c r="K315" s="29" t="n">
        <v>98</v>
      </c>
      <c r="L315" s="37" t="n">
        <v>11.5</v>
      </c>
      <c r="M315" s="28" t="n">
        <v>6.1</v>
      </c>
      <c r="N315" s="32" t="inlineStr">
        <is>
          <t>常规备选，放在长尾分类；用低价冲量，不单独投流</t>
        </is>
      </c>
    </row>
    <row r="316">
      <c r="A316" s="25" t="n">
        <v>314</v>
      </c>
      <c r="B316" s="25" t="inlineStr">
        <is>
          <t>mericle</t>
        </is>
      </c>
      <c r="C316" s="35" t="inlineStr">
        <is>
          <t>B</t>
        </is>
      </c>
      <c r="D316" s="26" t="inlineStr">
        <is>
          <t>儿童U型牙刷</t>
        </is>
      </c>
      <c r="E316" s="26" t="inlineStr">
        <is>
          <t>mericle儿童U型声波电动牙刷</t>
        </is>
      </c>
      <c r="F316" s="26" t="inlineStr">
        <is>
          <t>Mericle/U型恐龙牙刷/棒棒糖绿</t>
        </is>
      </c>
      <c r="G316" s="26" t="inlineStr">
        <is>
          <t>Mericle-UXYS-02</t>
        </is>
      </c>
      <c r="H316" s="29" t="n">
        <v>8</v>
      </c>
      <c r="I316" s="25" t="inlineStr">
        <is>
          <t>¥8–9</t>
        </is>
      </c>
      <c r="J316" s="29" t="n">
        <v>8</v>
      </c>
      <c r="K316" s="29" t="n">
        <v>10</v>
      </c>
      <c r="L316" s="37" t="n">
        <v>19.5</v>
      </c>
      <c r="M316" s="28" t="n">
        <v>6.09</v>
      </c>
      <c r="N316" s="32" t="inlineStr">
        <is>
          <t>常规备选，放在长尾分类；用低价冲量，不单独投流</t>
        </is>
      </c>
    </row>
    <row r="317">
      <c r="A317" s="25" t="n">
        <v>315</v>
      </c>
      <c r="B317" s="25" t="inlineStr">
        <is>
          <t>mericle</t>
        </is>
      </c>
      <c r="C317" s="35" t="inlineStr">
        <is>
          <t>B</t>
        </is>
      </c>
      <c r="D317" s="26" t="inlineStr">
        <is>
          <t>儿童U型牙刷</t>
        </is>
      </c>
      <c r="E317" s="26" t="inlineStr">
        <is>
          <t>mericle儿童U型声波电动牙刷</t>
        </is>
      </c>
      <c r="F317" s="26" t="inlineStr">
        <is>
          <t>Mericle/U型恐龙牙刷/西瓜粉</t>
        </is>
      </c>
      <c r="G317" s="26" t="inlineStr">
        <is>
          <t>Mericle-UXYS-01</t>
        </is>
      </c>
      <c r="H317" s="29" t="n">
        <v>8</v>
      </c>
      <c r="I317" s="25" t="inlineStr">
        <is>
          <t>¥8–9</t>
        </is>
      </c>
      <c r="J317" s="29" t="n">
        <v>8</v>
      </c>
      <c r="K317" s="29" t="n">
        <v>10</v>
      </c>
      <c r="L317" s="37" t="n">
        <v>19.5</v>
      </c>
      <c r="M317" s="28" t="n">
        <v>6.09</v>
      </c>
      <c r="N317" s="32" t="inlineStr">
        <is>
          <t>常规备选，放在长尾分类；用低价冲量，不单独投流</t>
        </is>
      </c>
    </row>
    <row r="318">
      <c r="A318" s="25" t="n">
        <v>316</v>
      </c>
      <c r="B318" s="25" t="inlineStr">
        <is>
          <t>美悟</t>
        </is>
      </c>
      <c r="C318" s="35" t="inlineStr">
        <is>
          <t>B</t>
        </is>
      </c>
      <c r="D318" s="26" t="inlineStr">
        <is>
          <t>儿童U型牙刷</t>
        </is>
      </c>
      <c r="E318" s="26" t="inlineStr">
        <is>
          <t>美悟儿童U型电动牙刷</t>
        </is>
      </c>
      <c r="F318" s="26" t="inlineStr">
        <is>
          <t>美悟/U型恐龙牙刷/西瓜粉
美悟/U型恐龙牙刷/棒棒糖绿</t>
        </is>
      </c>
      <c r="G318" s="26" t="inlineStr">
        <is>
          <t>MY-UXYS-01
MY-UXYS-02</t>
        </is>
      </c>
      <c r="H318" s="29" t="n">
        <v>8</v>
      </c>
      <c r="I318" s="25" t="inlineStr">
        <is>
          <t>¥8–9</t>
        </is>
      </c>
      <c r="J318" s="29" t="n">
        <v>8</v>
      </c>
      <c r="K318" s="29" t="n">
        <v>10</v>
      </c>
      <c r="L318" s="37" t="n">
        <v>19.5</v>
      </c>
      <c r="M318" s="28" t="n">
        <v>6.09</v>
      </c>
      <c r="N318" s="32" t="inlineStr">
        <is>
          <t>常规备选，放在长尾分类；用低价冲量，不单独投流</t>
        </is>
      </c>
    </row>
    <row r="319">
      <c r="A319" s="25" t="n">
        <v>317</v>
      </c>
      <c r="B319" s="25" t="inlineStr">
        <is>
          <t>康佳</t>
        </is>
      </c>
      <c r="C319" s="35" t="inlineStr">
        <is>
          <t>B</t>
        </is>
      </c>
      <c r="D319" s="26" t="inlineStr">
        <is>
          <t>头部按摩器</t>
        </is>
      </c>
      <c r="E319" s="26" t="inlineStr">
        <is>
          <t>按摩器(头部按摩器)</t>
        </is>
      </c>
      <c r="F319" s="26" t="inlineStr">
        <is>
          <t>康佳/按摩梳/紫色</t>
        </is>
      </c>
      <c r="G319" s="26" t="inlineStr">
        <is>
          <t>KJ-AMS-Z</t>
        </is>
      </c>
      <c r="H319" s="29" t="n">
        <v>21</v>
      </c>
      <c r="I319" s="25" t="inlineStr">
        <is>
          <t>¥18–24</t>
        </is>
      </c>
      <c r="J319" s="29" t="n">
        <v>17</v>
      </c>
      <c r="K319" s="29" t="n">
        <v>35</v>
      </c>
      <c r="L319" s="37" t="n">
        <v>3</v>
      </c>
      <c r="M319" s="28" t="n">
        <v>6.03</v>
      </c>
      <c r="N319" s="32" t="inlineStr">
        <is>
          <t>常规备选，放在长尾分类；用低价冲量，不单独投流</t>
        </is>
      </c>
    </row>
    <row r="320">
      <c r="A320" s="25" t="n">
        <v>318</v>
      </c>
      <c r="B320" s="25" t="inlineStr">
        <is>
          <t>mericle</t>
        </is>
      </c>
      <c r="C320" s="35" t="inlineStr">
        <is>
          <t>B</t>
        </is>
      </c>
      <c r="D320" s="26" t="inlineStr">
        <is>
          <t>洁面仪</t>
        </is>
      </c>
      <c r="E320" s="26" t="inlineStr">
        <is>
          <t>超声波离子清洁仪</t>
        </is>
      </c>
      <c r="F320" s="26" t="inlineStr">
        <is>
          <t>Mericle/离子清洁仪/002</t>
        </is>
      </c>
      <c r="G320" s="26" t="inlineStr">
        <is>
          <t>Mericle/QJY</t>
        </is>
      </c>
      <c r="H320" s="29" t="n">
        <v>12</v>
      </c>
      <c r="I320" s="25" t="inlineStr">
        <is>
          <t>¥6–18</t>
        </is>
      </c>
      <c r="J320" s="29" t="n">
        <v>6</v>
      </c>
      <c r="K320" s="29" t="n">
        <v>29</v>
      </c>
      <c r="L320" s="37" t="n">
        <v>5</v>
      </c>
      <c r="M320" s="28" t="n">
        <v>5.93</v>
      </c>
      <c r="N320" s="32" t="inlineStr">
        <is>
          <t>常规备选，放在长尾分类；用低价冲量，不单独投流</t>
        </is>
      </c>
    </row>
    <row r="321">
      <c r="A321" s="25" t="n">
        <v>319</v>
      </c>
      <c r="B321" s="25" t="inlineStr">
        <is>
          <t>mericle</t>
        </is>
      </c>
      <c r="C321" s="35" t="inlineStr">
        <is>
          <t>B</t>
        </is>
      </c>
      <c r="D321" s="26" t="inlineStr">
        <is>
          <t>洁面仪</t>
        </is>
      </c>
      <c r="E321" s="26" t="inlineStr">
        <is>
          <t>超声波离子清洁仪</t>
        </is>
      </c>
      <c r="F321" s="26" t="inlineStr">
        <is>
          <t>Mericle/离子清洁仪/003</t>
        </is>
      </c>
      <c r="G321" s="26" t="inlineStr">
        <is>
          <t>Mericle/QJY/003</t>
        </is>
      </c>
      <c r="H321" s="29" t="n">
        <v>12</v>
      </c>
      <c r="I321" s="25" t="inlineStr">
        <is>
          <t>¥6–18</t>
        </is>
      </c>
      <c r="J321" s="29" t="n">
        <v>6</v>
      </c>
      <c r="K321" s="29" t="n">
        <v>29</v>
      </c>
      <c r="L321" s="37" t="n">
        <v>5</v>
      </c>
      <c r="M321" s="28" t="n">
        <v>5.93</v>
      </c>
      <c r="N321" s="32" t="inlineStr">
        <is>
          <t>常规备选，放在长尾分类；用低价冲量，不单独投流</t>
        </is>
      </c>
    </row>
    <row r="322">
      <c r="A322" s="25" t="n">
        <v>320</v>
      </c>
      <c r="B322" s="25" t="inlineStr">
        <is>
          <t>mericle</t>
        </is>
      </c>
      <c r="C322" s="35" t="inlineStr">
        <is>
          <t>B</t>
        </is>
      </c>
      <c r="D322" s="26" t="inlineStr">
        <is>
          <t>电动睫毛卷</t>
        </is>
      </c>
      <c r="E322" s="26" t="inlineStr">
        <is>
          <t>加热睫毛夹</t>
        </is>
      </c>
      <c r="F322" s="26" t="inlineStr">
        <is>
          <t>Mericle/加热睫毛夹/粉色</t>
        </is>
      </c>
      <c r="G322" s="26" t="inlineStr">
        <is>
          <t>M-JMJ-F</t>
        </is>
      </c>
      <c r="H322" s="29" t="n">
        <v>6</v>
      </c>
      <c r="I322" s="25" t="inlineStr">
        <is>
          <t>¥5–7</t>
        </is>
      </c>
      <c r="J322" s="29" t="n">
        <v>5</v>
      </c>
      <c r="K322" s="29" t="n">
        <v>10</v>
      </c>
      <c r="L322" s="37" t="n">
        <v>47.5</v>
      </c>
      <c r="M322" s="28" t="n">
        <v>5.92</v>
      </c>
      <c r="N322" s="32" t="inlineStr">
        <is>
          <t>常规备选，放在长尾分类；用低价冲量，不单独投流</t>
        </is>
      </c>
    </row>
    <row r="323">
      <c r="A323" s="25" t="n">
        <v>321</v>
      </c>
      <c r="B323" s="25" t="inlineStr">
        <is>
          <t>mericle</t>
        </is>
      </c>
      <c r="C323" s="35" t="inlineStr">
        <is>
          <t>B</t>
        </is>
      </c>
      <c r="D323" s="26" t="inlineStr">
        <is>
          <t>电动睫毛卷</t>
        </is>
      </c>
      <c r="E323" s="26" t="inlineStr">
        <is>
          <t>加热睫毛夹</t>
        </is>
      </c>
      <c r="F323" s="26" t="inlineStr">
        <is>
          <t>Mericle/加热睫毛夹/蓝色</t>
        </is>
      </c>
      <c r="G323" s="26" t="inlineStr">
        <is>
          <t>M-JMJ-L</t>
        </is>
      </c>
      <c r="H323" s="29" t="n">
        <v>6</v>
      </c>
      <c r="I323" s="25" t="inlineStr">
        <is>
          <t>¥5–7</t>
        </is>
      </c>
      <c r="J323" s="29" t="n">
        <v>5</v>
      </c>
      <c r="K323" s="29" t="n">
        <v>10</v>
      </c>
      <c r="L323" s="37" t="n">
        <v>47.5</v>
      </c>
      <c r="M323" s="28" t="n">
        <v>5.92</v>
      </c>
      <c r="N323" s="32" t="inlineStr">
        <is>
          <t>常规备选，放在长尾分类；用低价冲量，不单独投流</t>
        </is>
      </c>
    </row>
    <row r="324">
      <c r="A324" s="25" t="n">
        <v>322</v>
      </c>
      <c r="B324" s="25" t="inlineStr">
        <is>
          <t>mericle</t>
        </is>
      </c>
      <c r="C324" s="35" t="inlineStr">
        <is>
          <t>B</t>
        </is>
      </c>
      <c r="D324" s="26" t="inlineStr">
        <is>
          <t>电动睫毛卷</t>
        </is>
      </c>
      <c r="E324" s="26" t="inlineStr">
        <is>
          <t>睫毛电烫卷器</t>
        </is>
      </c>
      <c r="F324" s="26" t="inlineStr">
        <is>
          <t>Mericle/睫毛烫卷器/白色</t>
        </is>
      </c>
      <c r="G324" s="26" t="inlineStr">
        <is>
          <t>M-JMJ-B</t>
        </is>
      </c>
      <c r="H324" s="29" t="n">
        <v>6</v>
      </c>
      <c r="I324" s="25" t="inlineStr">
        <is>
          <t>¥5–7</t>
        </is>
      </c>
      <c r="J324" s="29" t="n">
        <v>5</v>
      </c>
      <c r="K324" s="29" t="n">
        <v>10</v>
      </c>
      <c r="L324" s="37" t="n">
        <v>47.5</v>
      </c>
      <c r="M324" s="28" t="n">
        <v>5.92</v>
      </c>
      <c r="N324" s="32" t="inlineStr">
        <is>
          <t>常规备选，放在长尾分类；用低价冲量，不单独投流</t>
        </is>
      </c>
    </row>
    <row r="325">
      <c r="A325" s="25" t="n">
        <v>323</v>
      </c>
      <c r="B325" s="25" t="inlineStr">
        <is>
          <t>mericle</t>
        </is>
      </c>
      <c r="C325" s="35" t="inlineStr">
        <is>
          <t>B</t>
        </is>
      </c>
      <c r="D325" s="26" t="inlineStr">
        <is>
          <t>电动睫毛卷</t>
        </is>
      </c>
      <c r="E325" s="26" t="inlineStr">
        <is>
          <t>睫毛电烫卷器</t>
        </is>
      </c>
      <c r="F325" s="26" t="inlineStr">
        <is>
          <t>Mericle/睫毛烫卷器/紫色</t>
        </is>
      </c>
      <c r="G325" s="26" t="inlineStr">
        <is>
          <t>M-JMJ-Z</t>
        </is>
      </c>
      <c r="H325" s="29" t="n">
        <v>6</v>
      </c>
      <c r="I325" s="25" t="inlineStr">
        <is>
          <t>¥5–7</t>
        </is>
      </c>
      <c r="J325" s="29" t="n">
        <v>5</v>
      </c>
      <c r="K325" s="29" t="n">
        <v>10</v>
      </c>
      <c r="L325" s="37" t="n">
        <v>47.5</v>
      </c>
      <c r="M325" s="28" t="n">
        <v>5.92</v>
      </c>
      <c r="N325" s="32" t="inlineStr">
        <is>
          <t>常规备选，放在长尾分类；用低价冲量，不单独投流</t>
        </is>
      </c>
    </row>
    <row r="326">
      <c r="A326" s="25" t="n">
        <v>324</v>
      </c>
      <c r="B326" s="25" t="inlineStr">
        <is>
          <t>mericle</t>
        </is>
      </c>
      <c r="C326" s="35" t="inlineStr">
        <is>
          <t>B</t>
        </is>
      </c>
      <c r="D326" s="26" t="inlineStr">
        <is>
          <t>电动睫毛卷</t>
        </is>
      </c>
      <c r="E326" s="26" t="inlineStr">
        <is>
          <t>电热睫毛夹</t>
        </is>
      </c>
      <c r="F326" s="26" t="inlineStr">
        <is>
          <t>Mericle/睫毛夹/紫色/JMJ-009</t>
        </is>
      </c>
      <c r="G326" s="26" t="inlineStr">
        <is>
          <t>Mericle-JMJ-01</t>
        </is>
      </c>
      <c r="H326" s="29" t="n">
        <v>6</v>
      </c>
      <c r="I326" s="25" t="inlineStr">
        <is>
          <t>¥5–7</t>
        </is>
      </c>
      <c r="J326" s="29" t="n">
        <v>5</v>
      </c>
      <c r="K326" s="29" t="n">
        <v>10</v>
      </c>
      <c r="L326" s="37" t="n">
        <v>47.5</v>
      </c>
      <c r="M326" s="28" t="n">
        <v>5.92</v>
      </c>
      <c r="N326" s="32" t="inlineStr">
        <is>
          <t>常规备选，放在长尾分类；用低价冲量，不单独投流</t>
        </is>
      </c>
    </row>
    <row r="327">
      <c r="A327" s="25" t="n">
        <v>325</v>
      </c>
      <c r="B327" s="25" t="inlineStr">
        <is>
          <t>mericle</t>
        </is>
      </c>
      <c r="C327" s="35" t="inlineStr">
        <is>
          <t>B</t>
        </is>
      </c>
      <c r="D327" s="26" t="inlineStr">
        <is>
          <t>电动睫毛卷</t>
        </is>
      </c>
      <c r="E327" s="26" t="inlineStr">
        <is>
          <t>电热睫毛夹</t>
        </is>
      </c>
      <c r="F327" s="26" t="inlineStr">
        <is>
          <t>Mericle/电热睫毛夹/粉色/YX-2613</t>
        </is>
      </c>
      <c r="G327" s="26" t="inlineStr">
        <is>
          <t>Mericle-JMJ-02</t>
        </is>
      </c>
      <c r="H327" s="29" t="n">
        <v>6</v>
      </c>
      <c r="I327" s="25" t="inlineStr">
        <is>
          <t>¥5–7</t>
        </is>
      </c>
      <c r="J327" s="29" t="n">
        <v>5</v>
      </c>
      <c r="K327" s="29" t="n">
        <v>10</v>
      </c>
      <c r="L327" s="37" t="n">
        <v>47.5</v>
      </c>
      <c r="M327" s="28" t="n">
        <v>5.92</v>
      </c>
      <c r="N327" s="32" t="inlineStr">
        <is>
          <t>常规备选，放在长尾分类；用低价冲量，不单独投流</t>
        </is>
      </c>
    </row>
    <row r="328">
      <c r="A328" s="25" t="n">
        <v>326</v>
      </c>
      <c r="B328" s="25" t="inlineStr">
        <is>
          <t>mericle</t>
        </is>
      </c>
      <c r="C328" s="35" t="inlineStr">
        <is>
          <t>B</t>
        </is>
      </c>
      <c r="D328" s="26" t="inlineStr">
        <is>
          <t>电动睫毛卷</t>
        </is>
      </c>
      <c r="E328" s="26" t="inlineStr">
        <is>
          <t>电热睫毛夹</t>
        </is>
      </c>
      <c r="F328" s="26" t="inlineStr">
        <is>
          <t xml:space="preserve">Mericle/电热睫毛夹/紫色/YX-2613  </t>
        </is>
      </c>
      <c r="G328" s="26" t="inlineStr">
        <is>
          <t>Mericle-JMJ-03</t>
        </is>
      </c>
      <c r="H328" s="29" t="n">
        <v>6</v>
      </c>
      <c r="I328" s="25" t="inlineStr">
        <is>
          <t>¥5–7</t>
        </is>
      </c>
      <c r="J328" s="29" t="n">
        <v>5</v>
      </c>
      <c r="K328" s="29" t="n">
        <v>10</v>
      </c>
      <c r="L328" s="37" t="n">
        <v>47.5</v>
      </c>
      <c r="M328" s="28" t="n">
        <v>5.92</v>
      </c>
      <c r="N328" s="32" t="inlineStr">
        <is>
          <t>常规备选，放在长尾分类；用低价冲量，不单独投流</t>
        </is>
      </c>
    </row>
    <row r="329">
      <c r="A329" s="25" t="n">
        <v>327</v>
      </c>
      <c r="B329" s="25" t="inlineStr">
        <is>
          <t>mericle</t>
        </is>
      </c>
      <c r="C329" s="35" t="inlineStr">
        <is>
          <t>B</t>
        </is>
      </c>
      <c r="D329" s="26" t="inlineStr">
        <is>
          <t>电动睫毛卷</t>
        </is>
      </c>
      <c r="E329" s="26" t="inlineStr">
        <is>
          <t>电热睫毛夹</t>
        </is>
      </c>
      <c r="F329" s="26" t="inlineStr">
        <is>
          <t>Mericle/电热睫毛夹/粉色/JMJ-010</t>
        </is>
      </c>
      <c r="G329" s="26" t="inlineStr">
        <is>
          <t>Mericle-JMJ-05</t>
        </is>
      </c>
      <c r="H329" s="29" t="n">
        <v>6</v>
      </c>
      <c r="I329" s="25" t="inlineStr">
        <is>
          <t>¥5–7</t>
        </is>
      </c>
      <c r="J329" s="29" t="n">
        <v>5</v>
      </c>
      <c r="K329" s="29" t="n">
        <v>10</v>
      </c>
      <c r="L329" s="37" t="n">
        <v>47.5</v>
      </c>
      <c r="M329" s="28" t="n">
        <v>5.92</v>
      </c>
      <c r="N329" s="32" t="inlineStr">
        <is>
          <t>常规备选，放在长尾分类；用低价冲量，不单独投流</t>
        </is>
      </c>
    </row>
    <row r="330">
      <c r="A330" s="25" t="n">
        <v>328</v>
      </c>
      <c r="B330" s="25" t="inlineStr">
        <is>
          <t>mericle</t>
        </is>
      </c>
      <c r="C330" s="35" t="inlineStr">
        <is>
          <t>B</t>
        </is>
      </c>
      <c r="D330" s="26" t="inlineStr">
        <is>
          <t>电动睫毛卷</t>
        </is>
      </c>
      <c r="E330" s="26" t="inlineStr">
        <is>
          <t>电热睫毛夹</t>
        </is>
      </c>
      <c r="F330" s="26" t="inlineStr">
        <is>
          <t>Mericle/电热睫毛夹/紫色/JMJ-010</t>
        </is>
      </c>
      <c r="G330" s="26" t="inlineStr">
        <is>
          <t>Mericle-JMJ-04</t>
        </is>
      </c>
      <c r="H330" s="29" t="n">
        <v>6</v>
      </c>
      <c r="I330" s="25" t="inlineStr">
        <is>
          <t>¥5–7</t>
        </is>
      </c>
      <c r="J330" s="29" t="n">
        <v>5</v>
      </c>
      <c r="K330" s="29" t="n">
        <v>10</v>
      </c>
      <c r="L330" s="37" t="n">
        <v>47.5</v>
      </c>
      <c r="M330" s="28" t="n">
        <v>5.92</v>
      </c>
      <c r="N330" s="32" t="inlineStr">
        <is>
          <t>常规备选，放在长尾分类；用低价冲量，不单独投流</t>
        </is>
      </c>
    </row>
    <row r="331">
      <c r="A331" s="25" t="n">
        <v>329</v>
      </c>
      <c r="B331" s="25" t="inlineStr">
        <is>
          <t>美悟</t>
        </is>
      </c>
      <c r="C331" s="35" t="inlineStr">
        <is>
          <t>B</t>
        </is>
      </c>
      <c r="D331" s="26" t="inlineStr">
        <is>
          <t>电动睫毛卷</t>
        </is>
      </c>
      <c r="E331" s="26" t="inlineStr">
        <is>
          <t>美悟电热睫毛卷</t>
        </is>
      </c>
      <c r="F331" s="26" t="inlineStr">
        <is>
          <t>美悟/电热睫毛卷/白色</t>
        </is>
      </c>
      <c r="G331" s="26" t="inlineStr">
        <is>
          <t>MY-DRJMJ-B</t>
        </is>
      </c>
      <c r="H331" s="29" t="n">
        <v>6</v>
      </c>
      <c r="I331" s="25" t="inlineStr">
        <is>
          <t>¥5–7</t>
        </is>
      </c>
      <c r="J331" s="29" t="n">
        <v>5</v>
      </c>
      <c r="K331" s="29" t="n">
        <v>10</v>
      </c>
      <c r="L331" s="37" t="n">
        <v>47.5</v>
      </c>
      <c r="M331" s="28" t="n">
        <v>5.92</v>
      </c>
      <c r="N331" s="32" t="inlineStr">
        <is>
          <t>常规备选，放在长尾分类；用低价冲量，不单独投流</t>
        </is>
      </c>
    </row>
    <row r="332">
      <c r="A332" s="25" t="n">
        <v>330</v>
      </c>
      <c r="B332" s="25" t="inlineStr">
        <is>
          <t>美悟</t>
        </is>
      </c>
      <c r="C332" s="35" t="inlineStr">
        <is>
          <t>B</t>
        </is>
      </c>
      <c r="D332" s="26" t="inlineStr">
        <is>
          <t>电动睫毛卷</t>
        </is>
      </c>
      <c r="E332" s="26" t="inlineStr">
        <is>
          <t>美悟电热睫毛卷</t>
        </is>
      </c>
      <c r="F332" s="26" t="inlineStr">
        <is>
          <t>美悟/电热睫毛卷/粉色</t>
        </is>
      </c>
      <c r="G332" s="26" t="inlineStr">
        <is>
          <t>MY-DRJMJ-F</t>
        </is>
      </c>
      <c r="H332" s="29" t="n">
        <v>6</v>
      </c>
      <c r="I332" s="25" t="inlineStr">
        <is>
          <t>¥5–7</t>
        </is>
      </c>
      <c r="J332" s="29" t="n">
        <v>5</v>
      </c>
      <c r="K332" s="29" t="n">
        <v>10</v>
      </c>
      <c r="L332" s="37" t="n">
        <v>47.5</v>
      </c>
      <c r="M332" s="28" t="n">
        <v>5.92</v>
      </c>
      <c r="N332" s="32" t="inlineStr">
        <is>
          <t>常规备选，放在长尾分类；用低价冲量，不单独投流</t>
        </is>
      </c>
    </row>
    <row r="333">
      <c r="A333" s="25" t="n">
        <v>331</v>
      </c>
      <c r="B333" s="25" t="inlineStr">
        <is>
          <t>美悟</t>
        </is>
      </c>
      <c r="C333" s="35" t="inlineStr">
        <is>
          <t>B</t>
        </is>
      </c>
      <c r="D333" s="26" t="inlineStr">
        <is>
          <t>电动睫毛卷</t>
        </is>
      </c>
      <c r="E333" s="26" t="inlineStr">
        <is>
          <t>美悟睫毛卷翘器</t>
        </is>
      </c>
      <c r="F333" s="26" t="inlineStr">
        <is>
          <t>美悟睫毛卷翘器 粉色</t>
        </is>
      </c>
      <c r="G333" s="26" t="inlineStr">
        <is>
          <t>Mericle-JMJQF</t>
        </is>
      </c>
      <c r="H333" s="29" t="n">
        <v>6</v>
      </c>
      <c r="I333" s="25" t="inlineStr">
        <is>
          <t>¥5–7</t>
        </is>
      </c>
      <c r="J333" s="29" t="n">
        <v>5</v>
      </c>
      <c r="K333" s="29" t="n">
        <v>10</v>
      </c>
      <c r="L333" s="37" t="n">
        <v>47.5</v>
      </c>
      <c r="M333" s="28" t="n">
        <v>5.92</v>
      </c>
      <c r="N333" s="32" t="inlineStr">
        <is>
          <t>常规备选，放在长尾分类；用低价冲量，不单独投流</t>
        </is>
      </c>
    </row>
    <row r="334">
      <c r="A334" s="25" t="n">
        <v>332</v>
      </c>
      <c r="B334" s="25" t="inlineStr">
        <is>
          <t>美悟</t>
        </is>
      </c>
      <c r="C334" s="35" t="inlineStr">
        <is>
          <t>B</t>
        </is>
      </c>
      <c r="D334" s="26" t="inlineStr">
        <is>
          <t>电动睫毛卷</t>
        </is>
      </c>
      <c r="E334" s="26" t="inlineStr">
        <is>
          <t>美悟睫毛卷翘器</t>
        </is>
      </c>
      <c r="F334" s="26" t="inlineStr">
        <is>
          <t>美悟睫毛卷翘器 黑色</t>
        </is>
      </c>
      <c r="G334" s="26" t="inlineStr">
        <is>
          <t>Mericle-JMJQH</t>
        </is>
      </c>
      <c r="H334" s="29" t="n">
        <v>6</v>
      </c>
      <c r="I334" s="25" t="inlineStr">
        <is>
          <t>¥5–7</t>
        </is>
      </c>
      <c r="J334" s="29" t="n">
        <v>5</v>
      </c>
      <c r="K334" s="29" t="n">
        <v>10</v>
      </c>
      <c r="L334" s="37" t="n">
        <v>47.5</v>
      </c>
      <c r="M334" s="28" t="n">
        <v>5.92</v>
      </c>
      <c r="N334" s="32" t="inlineStr">
        <is>
          <t>常规备选，放在长尾分类；用低价冲量，不单独投流</t>
        </is>
      </c>
    </row>
    <row r="335">
      <c r="A335" s="25" t="n">
        <v>333</v>
      </c>
      <c r="B335" s="25" t="inlineStr">
        <is>
          <t>美悟</t>
        </is>
      </c>
      <c r="C335" s="35" t="inlineStr">
        <is>
          <t>B</t>
        </is>
      </c>
      <c r="D335" s="26" t="inlineStr">
        <is>
          <t>电动睫毛卷</t>
        </is>
      </c>
      <c r="E335" s="26" t="inlineStr">
        <is>
          <t>美悟睫毛卷翘器</t>
        </is>
      </c>
      <c r="F335" s="26" t="inlineStr">
        <is>
          <t>美悟睫毛卷翘器 墨绿</t>
        </is>
      </c>
      <c r="G335" s="26" t="inlineStr">
        <is>
          <t>Mericle-JMJQML</t>
        </is>
      </c>
      <c r="H335" s="29" t="n">
        <v>6</v>
      </c>
      <c r="I335" s="25" t="inlineStr">
        <is>
          <t>¥5–7</t>
        </is>
      </c>
      <c r="J335" s="29" t="n">
        <v>5</v>
      </c>
      <c r="K335" s="29" t="n">
        <v>10</v>
      </c>
      <c r="L335" s="37" t="n">
        <v>47.5</v>
      </c>
      <c r="M335" s="28" t="n">
        <v>5.92</v>
      </c>
      <c r="N335" s="32" t="inlineStr">
        <is>
          <t>常规备选，放在长尾分类；用低价冲量，不单独投流</t>
        </is>
      </c>
    </row>
    <row r="336">
      <c r="A336" s="25" t="n">
        <v>334</v>
      </c>
      <c r="B336" s="25" t="inlineStr">
        <is>
          <t>通货</t>
        </is>
      </c>
      <c r="C336" s="35" t="inlineStr">
        <is>
          <t>B</t>
        </is>
      </c>
      <c r="D336" s="26" t="inlineStr">
        <is>
          <t>暖菜板</t>
        </is>
      </c>
      <c r="E336" s="26" t="inlineStr">
        <is>
          <t>暖菜板</t>
        </is>
      </c>
      <c r="F336" s="26" t="inlineStr">
        <is>
          <t>万和/暖菜板/WZ-BW35F1-01</t>
        </is>
      </c>
      <c r="G336" s="26" t="inlineStr">
        <is>
          <t>NCB-01</t>
        </is>
      </c>
      <c r="H336" s="29" t="n">
        <v>44</v>
      </c>
      <c r="I336" s="25" t="inlineStr">
        <is>
          <t>¥41–46</t>
        </is>
      </c>
      <c r="J336" s="29" t="n">
        <v>39</v>
      </c>
      <c r="K336" s="29" t="n">
        <v>59</v>
      </c>
      <c r="L336" s="37" t="n">
        <v>6</v>
      </c>
      <c r="M336" s="28" t="n">
        <v>5.85</v>
      </c>
      <c r="N336" s="32" t="inlineStr">
        <is>
          <t>常规备选，放在长尾分类；用低价冲量，不单独投流</t>
        </is>
      </c>
    </row>
    <row r="337">
      <c r="A337" s="25" t="n">
        <v>335</v>
      </c>
      <c r="B337" s="25" t="inlineStr">
        <is>
          <t>mericle</t>
        </is>
      </c>
      <c r="C337" s="35" t="inlineStr">
        <is>
          <t>B</t>
        </is>
      </c>
      <c r="D337" s="26" t="inlineStr">
        <is>
          <t>牙齿护理仪</t>
        </is>
      </c>
      <c r="E337" s="26" t="inlineStr">
        <is>
          <t>牙齿护理仪</t>
        </is>
      </c>
      <c r="F337" s="26" t="inlineStr">
        <is>
          <t>Mericle/牙齿护理仪/白色</t>
        </is>
      </c>
      <c r="G337" s="26" t="inlineStr">
        <is>
          <t>Mericle/YCHLY/002</t>
        </is>
      </c>
      <c r="H337" s="29" t="n">
        <v>14</v>
      </c>
      <c r="I337" s="25" t="inlineStr">
        <is>
          <t>¥9–19</t>
        </is>
      </c>
      <c r="J337" s="29" t="n">
        <v>9</v>
      </c>
      <c r="K337" s="29" t="n">
        <v>35</v>
      </c>
      <c r="L337" s="37" t="n">
        <v>4</v>
      </c>
      <c r="M337" s="28" t="n">
        <v>5.83</v>
      </c>
      <c r="N337" s="32" t="inlineStr">
        <is>
          <t>常规备选，放在长尾分类；用低价冲量，不单独投流</t>
        </is>
      </c>
    </row>
    <row r="338">
      <c r="A338" s="25" t="n">
        <v>336</v>
      </c>
      <c r="B338" s="25" t="inlineStr">
        <is>
          <t>mericle</t>
        </is>
      </c>
      <c r="C338" s="35" t="inlineStr">
        <is>
          <t>B</t>
        </is>
      </c>
      <c r="D338" s="26" t="inlineStr">
        <is>
          <t>牙齿护理仪</t>
        </is>
      </c>
      <c r="E338" s="26" t="inlineStr">
        <is>
          <t>牙齿护理仪</t>
        </is>
      </c>
      <c r="F338" s="26" t="inlineStr">
        <is>
          <t>Mericle/牙齿护理仪/蓝色</t>
        </is>
      </c>
      <c r="G338" s="26" t="inlineStr">
        <is>
          <t>YCHLY-02</t>
        </is>
      </c>
      <c r="H338" s="29" t="n">
        <v>14</v>
      </c>
      <c r="I338" s="25" t="inlineStr">
        <is>
          <t>¥9–19</t>
        </is>
      </c>
      <c r="J338" s="29" t="n">
        <v>9</v>
      </c>
      <c r="K338" s="29" t="n">
        <v>35</v>
      </c>
      <c r="L338" s="37" t="n">
        <v>4</v>
      </c>
      <c r="M338" s="28" t="n">
        <v>5.83</v>
      </c>
      <c r="N338" s="32" t="inlineStr">
        <is>
          <t>常规备选，放在长尾分类；用低价冲量，不单独投流</t>
        </is>
      </c>
    </row>
    <row r="339">
      <c r="A339" s="25" t="n">
        <v>337</v>
      </c>
      <c r="B339" s="25" t="inlineStr">
        <is>
          <t>mericle</t>
        </is>
      </c>
      <c r="C339" s="35" t="inlineStr">
        <is>
          <t>B</t>
        </is>
      </c>
      <c r="D339" s="26" t="inlineStr">
        <is>
          <t>牙齿护理仪</t>
        </is>
      </c>
      <c r="E339" s="26" t="inlineStr">
        <is>
          <t>牙齿护理仪</t>
        </is>
      </c>
      <c r="F339" s="26" t="inlineStr">
        <is>
          <t>Mericle/牙齿护理仪/粉色</t>
        </is>
      </c>
      <c r="G339" s="26" t="inlineStr">
        <is>
          <t>YCHLY-03</t>
        </is>
      </c>
      <c r="H339" s="29" t="n">
        <v>14</v>
      </c>
      <c r="I339" s="25" t="inlineStr">
        <is>
          <t>¥9–19</t>
        </is>
      </c>
      <c r="J339" s="29" t="n">
        <v>9</v>
      </c>
      <c r="K339" s="29" t="n">
        <v>35</v>
      </c>
      <c r="L339" s="37" t="n">
        <v>4</v>
      </c>
      <c r="M339" s="28" t="n">
        <v>5.83</v>
      </c>
      <c r="N339" s="32" t="inlineStr">
        <is>
          <t>常规备选，放在长尾分类；用低价冲量，不单独投流</t>
        </is>
      </c>
    </row>
    <row r="340">
      <c r="A340" s="25" t="n">
        <v>338</v>
      </c>
      <c r="B340" s="25" t="inlineStr">
        <is>
          <t>mericle</t>
        </is>
      </c>
      <c r="C340" s="35" t="inlineStr">
        <is>
          <t>B</t>
        </is>
      </c>
      <c r="D340" s="26" t="inlineStr">
        <is>
          <t>牙齿护理仪</t>
        </is>
      </c>
      <c r="E340" s="26" t="inlineStr">
        <is>
          <t>多功能牙齿清洁器</t>
        </is>
      </c>
      <c r="F340" s="26" t="inlineStr">
        <is>
          <t>Mericle/牙齿清洁器/白色</t>
        </is>
      </c>
      <c r="G340" s="26" t="inlineStr">
        <is>
          <t>YCQJQ-01</t>
        </is>
      </c>
      <c r="H340" s="29" t="n">
        <v>14</v>
      </c>
      <c r="I340" s="25" t="inlineStr">
        <is>
          <t>¥9–19</t>
        </is>
      </c>
      <c r="J340" s="29" t="n">
        <v>9</v>
      </c>
      <c r="K340" s="29" t="n">
        <v>35</v>
      </c>
      <c r="L340" s="37" t="n">
        <v>4</v>
      </c>
      <c r="M340" s="28" t="n">
        <v>5.83</v>
      </c>
      <c r="N340" s="32" t="inlineStr">
        <is>
          <t>常规备选，放在长尾分类；用低价冲量，不单独投流</t>
        </is>
      </c>
    </row>
    <row r="341">
      <c r="A341" s="25" t="n">
        <v>339</v>
      </c>
      <c r="B341" s="25" t="inlineStr">
        <is>
          <t>mericle</t>
        </is>
      </c>
      <c r="C341" s="35" t="inlineStr">
        <is>
          <t>B</t>
        </is>
      </c>
      <c r="D341" s="26" t="inlineStr">
        <is>
          <t>隐形眼镜清洁盒</t>
        </is>
      </c>
      <c r="E341" s="26" t="inlineStr">
        <is>
          <t>隐形眼镜清洁盒</t>
        </is>
      </c>
      <c r="F341" s="26" t="inlineStr">
        <is>
          <t>Mericle/隐形眼镜清洁盒</t>
        </is>
      </c>
      <c r="G341" s="26" t="inlineStr">
        <is>
          <t>Mericle-YXYJH-01</t>
        </is>
      </c>
      <c r="H341" s="29" t="n">
        <v>14</v>
      </c>
      <c r="I341" s="25" t="inlineStr">
        <is>
          <t>¥12–15</t>
        </is>
      </c>
      <c r="J341" s="29" t="n">
        <v>11</v>
      </c>
      <c r="K341" s="29" t="n">
        <v>19</v>
      </c>
      <c r="L341" s="37" t="n">
        <v>4.5</v>
      </c>
      <c r="M341" s="28" t="n">
        <v>5.83</v>
      </c>
      <c r="N341" s="32" t="inlineStr">
        <is>
          <t>常规备选，放在长尾分类；用低价冲量，不单独投流</t>
        </is>
      </c>
    </row>
    <row r="342">
      <c r="A342" s="25" t="n">
        <v>340</v>
      </c>
      <c r="B342" s="25" t="inlineStr">
        <is>
          <t>mericle</t>
        </is>
      </c>
      <c r="C342" s="35" t="inlineStr">
        <is>
          <t>B</t>
        </is>
      </c>
      <c r="D342" s="26" t="inlineStr">
        <is>
          <t>筋膜枪</t>
        </is>
      </c>
      <c r="E342" s="26" t="inlineStr">
        <is>
          <t>迷你筋膜枪</t>
        </is>
      </c>
      <c r="F342" s="26" t="inlineStr">
        <is>
          <t>Mericle /筋膜枪/白色</t>
        </is>
      </c>
      <c r="G342" s="26" t="inlineStr">
        <is>
          <t>Mericle-JMQ-01</t>
        </is>
      </c>
      <c r="H342" s="29" t="n">
        <v>18</v>
      </c>
      <c r="I342" s="25" t="inlineStr">
        <is>
          <t>¥16–19</t>
        </is>
      </c>
      <c r="J342" s="29" t="n">
        <v>15</v>
      </c>
      <c r="K342" s="29" t="n">
        <v>27</v>
      </c>
      <c r="L342" s="37" t="n">
        <v>4</v>
      </c>
      <c r="M342" s="28" t="n">
        <v>5.83</v>
      </c>
      <c r="N342" s="32" t="inlineStr">
        <is>
          <t>常规备选，放在长尾分类；用低价冲量，不单独投流</t>
        </is>
      </c>
    </row>
    <row r="343">
      <c r="A343" s="25" t="n">
        <v>341</v>
      </c>
      <c r="B343" s="25" t="inlineStr">
        <is>
          <t>mericle</t>
        </is>
      </c>
      <c r="C343" s="35" t="inlineStr">
        <is>
          <t>B</t>
        </is>
      </c>
      <c r="D343" s="26" t="inlineStr">
        <is>
          <t>筋膜枪</t>
        </is>
      </c>
      <c r="E343" s="26" t="inlineStr">
        <is>
          <t>迷你筋膜枪</t>
        </is>
      </c>
      <c r="F343" s="26" t="inlineStr">
        <is>
          <t>Mericle /筋膜枪/蓝色</t>
        </is>
      </c>
      <c r="G343" s="26" t="inlineStr">
        <is>
          <t>Mericle-JMQ-02</t>
        </is>
      </c>
      <c r="H343" s="29" t="n">
        <v>18</v>
      </c>
      <c r="I343" s="25" t="inlineStr">
        <is>
          <t>¥16–19</t>
        </is>
      </c>
      <c r="J343" s="29" t="n">
        <v>15</v>
      </c>
      <c r="K343" s="29" t="n">
        <v>27</v>
      </c>
      <c r="L343" s="37" t="n">
        <v>4</v>
      </c>
      <c r="M343" s="28" t="n">
        <v>5.83</v>
      </c>
      <c r="N343" s="32" t="inlineStr">
        <is>
          <t>常规备选，放在长尾分类；用低价冲量，不单独投流</t>
        </is>
      </c>
    </row>
    <row r="344">
      <c r="A344" s="25" t="n">
        <v>342</v>
      </c>
      <c r="B344" s="25" t="inlineStr">
        <is>
          <t>mericle</t>
        </is>
      </c>
      <c r="C344" s="35" t="inlineStr">
        <is>
          <t>B</t>
        </is>
      </c>
      <c r="D344" s="26" t="inlineStr">
        <is>
          <t>筋膜枪</t>
        </is>
      </c>
      <c r="E344" s="26" t="inlineStr">
        <is>
          <t>八头筋膜枪</t>
        </is>
      </c>
      <c r="F344" s="26" t="inlineStr">
        <is>
          <t>Mericle/筋膜枪/8头/SL-880</t>
        </is>
      </c>
      <c r="G344" s="26" t="inlineStr">
        <is>
          <t>JMQ-08</t>
        </is>
      </c>
      <c r="H344" s="29" t="n">
        <v>18</v>
      </c>
      <c r="I344" s="25" t="inlineStr">
        <is>
          <t>¥16–19</t>
        </is>
      </c>
      <c r="J344" s="29" t="n">
        <v>15</v>
      </c>
      <c r="K344" s="29" t="n">
        <v>27</v>
      </c>
      <c r="L344" s="37" t="n">
        <v>4</v>
      </c>
      <c r="M344" s="28" t="n">
        <v>5.83</v>
      </c>
      <c r="N344" s="32" t="inlineStr">
        <is>
          <t>常规备选，放在长尾分类；用低价冲量，不单独投流</t>
        </is>
      </c>
    </row>
    <row r="345">
      <c r="A345" s="25" t="n">
        <v>343</v>
      </c>
      <c r="B345" s="25" t="inlineStr">
        <is>
          <t>通货</t>
        </is>
      </c>
      <c r="C345" s="35" t="inlineStr">
        <is>
          <t>B</t>
        </is>
      </c>
      <c r="D345" s="26" t="inlineStr">
        <is>
          <t>筋膜枪</t>
        </is>
      </c>
      <c r="E345" s="26" t="inlineStr">
        <is>
          <t>多头筋膜枪</t>
        </is>
      </c>
      <c r="F345" s="26" t="inlineStr">
        <is>
          <t>筋膜枪/22头/YQ-906-2</t>
        </is>
      </c>
      <c r="G345" s="26" t="inlineStr">
        <is>
          <t>JMQ-07</t>
        </is>
      </c>
      <c r="H345" s="29" t="n">
        <v>18</v>
      </c>
      <c r="I345" s="25" t="inlineStr">
        <is>
          <t>¥16–19</t>
        </is>
      </c>
      <c r="J345" s="29" t="n">
        <v>15</v>
      </c>
      <c r="K345" s="29" t="n">
        <v>27</v>
      </c>
      <c r="L345" s="37" t="n">
        <v>4</v>
      </c>
      <c r="M345" s="28" t="n">
        <v>5.83</v>
      </c>
      <c r="N345" s="32" t="inlineStr">
        <is>
          <t>常规备选，放在长尾分类；用低价冲量，不单独投流</t>
        </is>
      </c>
    </row>
    <row r="346">
      <c r="A346" s="25" t="n">
        <v>344</v>
      </c>
      <c r="B346" s="25" t="inlineStr">
        <is>
          <t>通货</t>
        </is>
      </c>
      <c r="C346" s="35" t="inlineStr">
        <is>
          <t>B</t>
        </is>
      </c>
      <c r="D346" s="26" t="inlineStr">
        <is>
          <t>筋膜枪</t>
        </is>
      </c>
      <c r="E346" s="26" t="inlineStr">
        <is>
          <t>多头筋膜枪</t>
        </is>
      </c>
      <c r="F346" s="26" t="inlineStr">
        <is>
          <t>筋膜枪/12头/YQ-906-1</t>
        </is>
      </c>
      <c r="G346" s="26" t="inlineStr">
        <is>
          <t>JMQ-06</t>
        </is>
      </c>
      <c r="H346" s="29" t="n">
        <v>18</v>
      </c>
      <c r="I346" s="25" t="inlineStr">
        <is>
          <t>¥16–19</t>
        </is>
      </c>
      <c r="J346" s="29" t="n">
        <v>15</v>
      </c>
      <c r="K346" s="29" t="n">
        <v>27</v>
      </c>
      <c r="L346" s="37" t="n">
        <v>4</v>
      </c>
      <c r="M346" s="28" t="n">
        <v>5.83</v>
      </c>
      <c r="N346" s="32" t="inlineStr">
        <is>
          <t>常规备选，放在长尾分类；用低价冲量，不单独投流</t>
        </is>
      </c>
    </row>
    <row r="347">
      <c r="A347" s="25" t="n">
        <v>345</v>
      </c>
      <c r="B347" s="25" t="inlineStr">
        <is>
          <t>现代</t>
        </is>
      </c>
      <c r="C347" s="35" t="inlineStr">
        <is>
          <t>B</t>
        </is>
      </c>
      <c r="D347" s="26" t="inlineStr">
        <is>
          <t>牙齿护理仪</t>
        </is>
      </c>
      <c r="E347" s="26" t="inlineStr">
        <is>
          <t>牙齿护理仪</t>
        </is>
      </c>
      <c r="F347" s="26" t="inlineStr">
        <is>
          <t>现代/牙齿护理仪/白色</t>
        </is>
      </c>
      <c r="G347" s="26" t="inlineStr">
        <is>
          <t>YCHLY-05</t>
        </is>
      </c>
      <c r="H347" s="29" t="n">
        <v>14</v>
      </c>
      <c r="I347" s="25" t="inlineStr">
        <is>
          <t>¥9–19</t>
        </is>
      </c>
      <c r="J347" s="29" t="n">
        <v>9</v>
      </c>
      <c r="K347" s="29" t="n">
        <v>35</v>
      </c>
      <c r="L347" s="37" t="n">
        <v>4</v>
      </c>
      <c r="M347" s="28" t="n">
        <v>5.83</v>
      </c>
      <c r="N347" s="32" t="inlineStr">
        <is>
          <t>常规备选，放在长尾分类；用低价冲量，不单独投流</t>
        </is>
      </c>
    </row>
    <row r="348">
      <c r="A348" s="25" t="n">
        <v>346</v>
      </c>
      <c r="B348" s="25" t="inlineStr">
        <is>
          <t>夏新</t>
        </is>
      </c>
      <c r="C348" s="35" t="inlineStr">
        <is>
          <t>B</t>
        </is>
      </c>
      <c r="D348" s="26" t="inlineStr">
        <is>
          <t>豆浆机</t>
        </is>
      </c>
      <c r="E348" s="26" t="inlineStr">
        <is>
          <t>豆浆机</t>
        </is>
      </c>
      <c r="F348" s="26" t="inlineStr">
        <is>
          <t>夏新/豆浆机/QHD-004P</t>
        </is>
      </c>
      <c r="G348" s="26" t="inlineStr">
        <is>
          <t>DJJ-01</t>
        </is>
      </c>
      <c r="H348" s="29" t="n">
        <v>34</v>
      </c>
      <c r="I348" s="25" t="inlineStr">
        <is>
          <t>¥21–47</t>
        </is>
      </c>
      <c r="J348" s="29" t="n">
        <v>20</v>
      </c>
      <c r="K348" s="29" t="n">
        <v>58</v>
      </c>
      <c r="L348" s="37" t="n">
        <v>9</v>
      </c>
      <c r="M348" s="28" t="n">
        <v>5.82</v>
      </c>
      <c r="N348" s="32" t="inlineStr">
        <is>
          <t>常规备选，放在长尾分类；用低价冲量，不单独投流</t>
        </is>
      </c>
    </row>
    <row r="349">
      <c r="A349" s="25" t="n">
        <v>347</v>
      </c>
      <c r="B349" s="25" t="inlineStr">
        <is>
          <t>mericle</t>
        </is>
      </c>
      <c r="C349" s="35" t="inlineStr">
        <is>
          <t>B</t>
        </is>
      </c>
      <c r="D349" s="26" t="inlineStr">
        <is>
          <t>手持吸尘器</t>
        </is>
      </c>
      <c r="E349" s="26" t="inlineStr">
        <is>
          <t>迷你无线洗衣机</t>
        </is>
      </c>
      <c r="F349" s="26" t="inlineStr">
        <is>
          <t>Mericle/迷你洗衣机/YQ-106</t>
        </is>
      </c>
      <c r="G349" s="26" t="inlineStr">
        <is>
          <t>XYJ-01</t>
        </is>
      </c>
      <c r="H349" s="29" t="n">
        <v>12</v>
      </c>
      <c r="I349" s="25" t="inlineStr">
        <is>
          <t>¥10–15</t>
        </is>
      </c>
      <c r="J349" s="29" t="n">
        <v>10</v>
      </c>
      <c r="K349" s="29" t="n">
        <v>28</v>
      </c>
      <c r="L349" s="37" t="n">
        <v>9</v>
      </c>
      <c r="M349" s="28" t="n">
        <v>5.81</v>
      </c>
      <c r="N349" s="32" t="inlineStr">
        <is>
          <t>常规备选，放在长尾分类；用低价冲量，不单独投流</t>
        </is>
      </c>
    </row>
    <row r="350">
      <c r="A350" s="25" t="n">
        <v>348</v>
      </c>
      <c r="B350" s="25" t="inlineStr">
        <is>
          <t>mericle</t>
        </is>
      </c>
      <c r="C350" s="35" t="inlineStr">
        <is>
          <t>B</t>
        </is>
      </c>
      <c r="D350" s="26" t="inlineStr">
        <is>
          <t>手持吸尘器</t>
        </is>
      </c>
      <c r="E350" s="26" t="inlineStr">
        <is>
          <t>无线吸尘器</t>
        </is>
      </c>
      <c r="F350" s="26" t="inlineStr">
        <is>
          <t>Mericle/无线吸尘器/YQ-670</t>
        </is>
      </c>
      <c r="G350" s="26" t="inlineStr">
        <is>
          <t>Mericle-XCQ-04</t>
        </is>
      </c>
      <c r="H350" s="29" t="n">
        <v>12</v>
      </c>
      <c r="I350" s="25" t="inlineStr">
        <is>
          <t>¥10–15</t>
        </is>
      </c>
      <c r="J350" s="29" t="n">
        <v>10</v>
      </c>
      <c r="K350" s="29" t="n">
        <v>28</v>
      </c>
      <c r="L350" s="37" t="n">
        <v>9</v>
      </c>
      <c r="M350" s="28" t="n">
        <v>5.81</v>
      </c>
      <c r="N350" s="32" t="inlineStr">
        <is>
          <t>常规备选，放在长尾分类；用低价冲量，不单独投流</t>
        </is>
      </c>
    </row>
    <row r="351">
      <c r="A351" s="25" t="n">
        <v>349</v>
      </c>
      <c r="B351" s="25" t="inlineStr">
        <is>
          <t>美悟</t>
        </is>
      </c>
      <c r="C351" s="35" t="inlineStr">
        <is>
          <t>B</t>
        </is>
      </c>
      <c r="D351" s="26" t="inlineStr">
        <is>
          <t>手持吸尘器</t>
        </is>
      </c>
      <c r="E351" s="26" t="inlineStr">
        <is>
          <t>迷你无线洗衣机</t>
        </is>
      </c>
      <c r="F351" s="26" t="inlineStr">
        <is>
          <t>美悟/迷你洗衣机/YQ-106</t>
        </is>
      </c>
      <c r="G351" s="26" t="inlineStr">
        <is>
          <t>XYJ-02</t>
        </is>
      </c>
      <c r="H351" s="29" t="n">
        <v>12</v>
      </c>
      <c r="I351" s="25" t="inlineStr">
        <is>
          <t>¥10–15</t>
        </is>
      </c>
      <c r="J351" s="29" t="n">
        <v>10</v>
      </c>
      <c r="K351" s="29" t="n">
        <v>28</v>
      </c>
      <c r="L351" s="37" t="n">
        <v>9</v>
      </c>
      <c r="M351" s="28" t="n">
        <v>5.81</v>
      </c>
      <c r="N351" s="32" t="inlineStr">
        <is>
          <t>常规备选，放在长尾分类；用低价冲量，不单独投流</t>
        </is>
      </c>
    </row>
    <row r="352">
      <c r="A352" s="25" t="n">
        <v>350</v>
      </c>
      <c r="B352" s="25" t="inlineStr">
        <is>
          <t>夏新</t>
        </is>
      </c>
      <c r="C352" s="35" t="inlineStr">
        <is>
          <t>B</t>
        </is>
      </c>
      <c r="D352" s="26" t="inlineStr">
        <is>
          <t>手持吸尘器</t>
        </is>
      </c>
      <c r="E352" s="26" t="inlineStr">
        <is>
          <t>手持吸尘器</t>
        </is>
      </c>
      <c r="F352" s="26" t="inlineStr">
        <is>
          <t>夏新/手持车载吸尘器/YT-M2054-B</t>
        </is>
      </c>
      <c r="G352" s="26" t="inlineStr">
        <is>
          <t>XCQ-13</t>
        </is>
      </c>
      <c r="H352" s="29" t="n">
        <v>12</v>
      </c>
      <c r="I352" s="25" t="inlineStr">
        <is>
          <t>¥10–15</t>
        </is>
      </c>
      <c r="J352" s="29" t="n">
        <v>10</v>
      </c>
      <c r="K352" s="29" t="n">
        <v>28</v>
      </c>
      <c r="L352" s="37" t="n">
        <v>9</v>
      </c>
      <c r="M352" s="28" t="n">
        <v>5.81</v>
      </c>
      <c r="N352" s="32" t="inlineStr">
        <is>
          <t>常规备选，放在长尾分类；用低价冲量，不单独投流</t>
        </is>
      </c>
    </row>
    <row r="353">
      <c r="A353" s="25" t="n">
        <v>351</v>
      </c>
      <c r="B353" s="25" t="inlineStr">
        <is>
          <t>夏新</t>
        </is>
      </c>
      <c r="C353" s="35" t="inlineStr">
        <is>
          <t>B</t>
        </is>
      </c>
      <c r="D353" s="26" t="inlineStr">
        <is>
          <t>手持吸尘器</t>
        </is>
      </c>
      <c r="E353" s="26" t="inlineStr">
        <is>
          <t>手持吸尘器</t>
        </is>
      </c>
      <c r="F353" s="26" t="inlineStr">
        <is>
          <t>夏新/手持吸尘器/黑色/MXC-2070</t>
        </is>
      </c>
      <c r="G353" s="26" t="inlineStr">
        <is>
          <t>XCQ-14</t>
        </is>
      </c>
      <c r="H353" s="29" t="n">
        <v>12</v>
      </c>
      <c r="I353" s="25" t="inlineStr">
        <is>
          <t>¥10–15</t>
        </is>
      </c>
      <c r="J353" s="29" t="n">
        <v>10</v>
      </c>
      <c r="K353" s="29" t="n">
        <v>28</v>
      </c>
      <c r="L353" s="37" t="n">
        <v>9</v>
      </c>
      <c r="M353" s="28" t="n">
        <v>5.81</v>
      </c>
      <c r="N353" s="32" t="inlineStr">
        <is>
          <t>常规备选，放在长尾分类；用低价冲量，不单独投流</t>
        </is>
      </c>
    </row>
    <row r="354">
      <c r="A354" s="25" t="n">
        <v>352</v>
      </c>
      <c r="B354" s="25" t="inlineStr">
        <is>
          <t>夏新</t>
        </is>
      </c>
      <c r="C354" s="35" t="inlineStr">
        <is>
          <t>B</t>
        </is>
      </c>
      <c r="D354" s="26" t="inlineStr">
        <is>
          <t>手持吸尘器</t>
        </is>
      </c>
      <c r="E354" s="26" t="inlineStr">
        <is>
          <t>手持吸尘器</t>
        </is>
      </c>
      <c r="F354" s="26" t="inlineStr">
        <is>
          <t>夏新/手持吸尘器/白色/MXC-2070</t>
        </is>
      </c>
      <c r="G354" s="26" t="inlineStr">
        <is>
          <t>XCQ-15</t>
        </is>
      </c>
      <c r="H354" s="29" t="n">
        <v>12</v>
      </c>
      <c r="I354" s="25" t="inlineStr">
        <is>
          <t>¥10–15</t>
        </is>
      </c>
      <c r="J354" s="29" t="n">
        <v>10</v>
      </c>
      <c r="K354" s="29" t="n">
        <v>28</v>
      </c>
      <c r="L354" s="37" t="n">
        <v>9</v>
      </c>
      <c r="M354" s="28" t="n">
        <v>5.81</v>
      </c>
      <c r="N354" s="32" t="inlineStr">
        <is>
          <t>常规备选，放在长尾分类；用低价冲量，不单独投流</t>
        </is>
      </c>
    </row>
    <row r="355">
      <c r="A355" s="25" t="n">
        <v>353</v>
      </c>
      <c r="B355" s="25" t="inlineStr">
        <is>
          <t>mericle</t>
        </is>
      </c>
      <c r="C355" s="35" t="inlineStr">
        <is>
          <t>B</t>
        </is>
      </c>
      <c r="D355" s="26" t="inlineStr">
        <is>
          <t>超声波洁牙器</t>
        </is>
      </c>
      <c r="E355" s="26" t="inlineStr">
        <is>
          <t>家用超声波洁牙路(高频版)</t>
        </is>
      </c>
      <c r="F355" s="26" t="inlineStr">
        <is>
          <t>Mericle/超声波洁牙器/白色/JY-901</t>
        </is>
      </c>
      <c r="G355" s="26" t="inlineStr">
        <is>
          <t>YCQJQ-02</t>
        </is>
      </c>
      <c r="H355" s="29" t="n">
        <v>28</v>
      </c>
      <c r="I355" s="25" t="inlineStr">
        <is>
          <t>¥25–30</t>
        </is>
      </c>
      <c r="J355" s="29" t="n">
        <v>24</v>
      </c>
      <c r="K355" s="29" t="n">
        <v>36</v>
      </c>
      <c r="L355" s="37" t="n">
        <v>6</v>
      </c>
      <c r="M355" s="28" t="n">
        <v>5.8</v>
      </c>
      <c r="N355" s="32" t="inlineStr">
        <is>
          <t>常规备选，放在长尾分类；用低价冲量，不单独投流</t>
        </is>
      </c>
    </row>
    <row r="356">
      <c r="A356" s="25" t="n">
        <v>354</v>
      </c>
      <c r="B356" s="25" t="inlineStr">
        <is>
          <t>mericle</t>
        </is>
      </c>
      <c r="C356" s="35" t="inlineStr">
        <is>
          <t>B</t>
        </is>
      </c>
      <c r="D356" s="26" t="inlineStr">
        <is>
          <t>超声波洁牙器</t>
        </is>
      </c>
      <c r="E356" s="26" t="inlineStr">
        <is>
          <t>家用超声波洁牙器(高频版)</t>
        </is>
      </c>
      <c r="F356" s="26" t="inlineStr">
        <is>
          <t>Mericle/超声波洁牙器/蓝色/JY-901</t>
        </is>
      </c>
      <c r="G356" s="26" t="inlineStr">
        <is>
          <t>YCQJQ-03</t>
        </is>
      </c>
      <c r="H356" s="29" t="n">
        <v>28</v>
      </c>
      <c r="I356" s="25" t="inlineStr">
        <is>
          <t>¥25–30</t>
        </is>
      </c>
      <c r="J356" s="29" t="n">
        <v>24</v>
      </c>
      <c r="K356" s="29" t="n">
        <v>36</v>
      </c>
      <c r="L356" s="37" t="n">
        <v>6</v>
      </c>
      <c r="M356" s="28" t="n">
        <v>5.8</v>
      </c>
      <c r="N356" s="32" t="inlineStr">
        <is>
          <t>常规备选，放在长尾分类；用低价冲量，不单独投流</t>
        </is>
      </c>
    </row>
    <row r="357">
      <c r="A357" s="25" t="n">
        <v>355</v>
      </c>
      <c r="B357" s="25" t="inlineStr">
        <is>
          <t>mericle</t>
        </is>
      </c>
      <c r="C357" s="35" t="inlineStr">
        <is>
          <t>B</t>
        </is>
      </c>
      <c r="D357" s="26" t="inlineStr">
        <is>
          <t>超声波洁牙器</t>
        </is>
      </c>
      <c r="E357" s="26" t="inlineStr">
        <is>
          <t>家用超声波洁牙器(高频版)</t>
        </is>
      </c>
      <c r="F357" s="26" t="inlineStr">
        <is>
          <t>Mericle/超声波洁牙器/白色/JY-904</t>
        </is>
      </c>
      <c r="G357" s="26" t="inlineStr">
        <is>
          <t>YCQJQ-04</t>
        </is>
      </c>
      <c r="H357" s="29" t="n">
        <v>28</v>
      </c>
      <c r="I357" s="25" t="inlineStr">
        <is>
          <t>¥25–30</t>
        </is>
      </c>
      <c r="J357" s="29" t="n">
        <v>24</v>
      </c>
      <c r="K357" s="29" t="n">
        <v>36</v>
      </c>
      <c r="L357" s="37" t="n">
        <v>6</v>
      </c>
      <c r="M357" s="28" t="n">
        <v>5.8</v>
      </c>
      <c r="N357" s="32" t="inlineStr">
        <is>
          <t>常规备选，放在长尾分类；用低价冲量，不单独投流</t>
        </is>
      </c>
    </row>
    <row r="358">
      <c r="A358" s="25" t="n">
        <v>356</v>
      </c>
      <c r="B358" s="25" t="inlineStr">
        <is>
          <t>mericle</t>
        </is>
      </c>
      <c r="C358" s="35" t="inlineStr">
        <is>
          <t>B</t>
        </is>
      </c>
      <c r="D358" s="26" t="inlineStr">
        <is>
          <t>超声波洁牙器</t>
        </is>
      </c>
      <c r="E358" s="26" t="inlineStr">
        <is>
          <t>超声洁牙机</t>
        </is>
      </c>
      <c r="F358" s="26" t="inlineStr">
        <is>
          <t>Mericle/超声波洁牙器/白色/JYQ-003</t>
        </is>
      </c>
      <c r="G358" s="26" t="inlineStr">
        <is>
          <t>YCQJQ-05</t>
        </is>
      </c>
      <c r="H358" s="29" t="n">
        <v>28</v>
      </c>
      <c r="I358" s="25" t="inlineStr">
        <is>
          <t>¥25–30</t>
        </is>
      </c>
      <c r="J358" s="29" t="n">
        <v>24</v>
      </c>
      <c r="K358" s="29" t="n">
        <v>36</v>
      </c>
      <c r="L358" s="37" t="n">
        <v>6</v>
      </c>
      <c r="M358" s="28" t="n">
        <v>5.8</v>
      </c>
      <c r="N358" s="32" t="inlineStr">
        <is>
          <t>常规备选，放在长尾分类；用低价冲量，不单独投流</t>
        </is>
      </c>
    </row>
    <row r="359">
      <c r="A359" s="25" t="n">
        <v>357</v>
      </c>
      <c r="B359" s="25" t="inlineStr">
        <is>
          <t>mericle</t>
        </is>
      </c>
      <c r="C359" s="35" t="inlineStr">
        <is>
          <t>B</t>
        </is>
      </c>
      <c r="D359" s="26" t="inlineStr">
        <is>
          <t>超声波洁牙器</t>
        </is>
      </c>
      <c r="E359" s="26" t="inlineStr">
        <is>
          <t>洁牙器</t>
        </is>
      </c>
      <c r="F359" s="26" t="inlineStr">
        <is>
          <t>Mericle/洁牙器/白色/JYQ-012</t>
        </is>
      </c>
      <c r="G359" s="26" t="inlineStr">
        <is>
          <t>YCQJQ-10</t>
        </is>
      </c>
      <c r="H359" s="29" t="n">
        <v>28</v>
      </c>
      <c r="I359" s="25" t="inlineStr">
        <is>
          <t>¥25–30</t>
        </is>
      </c>
      <c r="J359" s="29" t="n">
        <v>24</v>
      </c>
      <c r="K359" s="29" t="n">
        <v>36</v>
      </c>
      <c r="L359" s="37" t="n">
        <v>6</v>
      </c>
      <c r="M359" s="28" t="n">
        <v>5.8</v>
      </c>
      <c r="N359" s="32" t="inlineStr">
        <is>
          <t>常规备选，放在长尾分类；用低价冲量，不单独投流</t>
        </is>
      </c>
    </row>
    <row r="360">
      <c r="A360" s="25" t="n">
        <v>358</v>
      </c>
      <c r="B360" s="25" t="inlineStr">
        <is>
          <t>mericle</t>
        </is>
      </c>
      <c r="C360" s="35" t="inlineStr">
        <is>
          <t>B</t>
        </is>
      </c>
      <c r="D360" s="26" t="inlineStr">
        <is>
          <t>超声波洁牙器</t>
        </is>
      </c>
      <c r="E360" s="26" t="inlineStr">
        <is>
          <t>洁牙器</t>
        </is>
      </c>
      <c r="F360" s="26" t="inlineStr">
        <is>
          <t>Mericle/洁牙器/蓝色/JYQ-012</t>
        </is>
      </c>
      <c r="G360" s="26" t="inlineStr">
        <is>
          <t>YCQJQ-11</t>
        </is>
      </c>
      <c r="H360" s="29" t="n">
        <v>28</v>
      </c>
      <c r="I360" s="25" t="inlineStr">
        <is>
          <t>¥25–30</t>
        </is>
      </c>
      <c r="J360" s="29" t="n">
        <v>24</v>
      </c>
      <c r="K360" s="29" t="n">
        <v>36</v>
      </c>
      <c r="L360" s="37" t="n">
        <v>6</v>
      </c>
      <c r="M360" s="28" t="n">
        <v>5.8</v>
      </c>
      <c r="N360" s="32" t="inlineStr">
        <is>
          <t>常规备选，放在长尾分类；用低价冲量，不单独投流</t>
        </is>
      </c>
    </row>
    <row r="361">
      <c r="A361" s="25" t="n">
        <v>359</v>
      </c>
      <c r="B361" s="25" t="inlineStr">
        <is>
          <t>美悟</t>
        </is>
      </c>
      <c r="C361" s="35" t="inlineStr">
        <is>
          <t>B</t>
        </is>
      </c>
      <c r="D361" s="26" t="inlineStr">
        <is>
          <t>超声波洁牙器</t>
        </is>
      </c>
      <c r="E361" s="26" t="inlineStr">
        <is>
          <t>超声波洁牙器</t>
        </is>
      </c>
      <c r="F361" s="26" t="inlineStr">
        <is>
          <t>美悟/超声波洁牙器/白色/JY-901</t>
        </is>
      </c>
      <c r="G361" s="26" t="inlineStr">
        <is>
          <t>YCQJQ-06</t>
        </is>
      </c>
      <c r="H361" s="29" t="n">
        <v>28</v>
      </c>
      <c r="I361" s="25" t="inlineStr">
        <is>
          <t>¥25–30</t>
        </is>
      </c>
      <c r="J361" s="29" t="n">
        <v>24</v>
      </c>
      <c r="K361" s="29" t="n">
        <v>36</v>
      </c>
      <c r="L361" s="37" t="n">
        <v>6</v>
      </c>
      <c r="M361" s="28" t="n">
        <v>5.8</v>
      </c>
      <c r="N361" s="32" t="inlineStr">
        <is>
          <t>常规备选，放在长尾分类；用低价冲量，不单独投流</t>
        </is>
      </c>
    </row>
    <row r="362">
      <c r="A362" s="25" t="n">
        <v>360</v>
      </c>
      <c r="B362" s="25" t="inlineStr">
        <is>
          <t>美悟</t>
        </is>
      </c>
      <c r="C362" s="35" t="inlineStr">
        <is>
          <t>B</t>
        </is>
      </c>
      <c r="D362" s="26" t="inlineStr">
        <is>
          <t>超声波洁牙器</t>
        </is>
      </c>
      <c r="E362" s="26" t="inlineStr">
        <is>
          <t>超声波洁牙器</t>
        </is>
      </c>
      <c r="F362" s="26" t="inlineStr">
        <is>
          <t>美悟/超声波洁牙器/蓝色/JY-901</t>
        </is>
      </c>
      <c r="G362" s="26" t="inlineStr">
        <is>
          <t>YCQJQ-07</t>
        </is>
      </c>
      <c r="H362" s="29" t="n">
        <v>28</v>
      </c>
      <c r="I362" s="25" t="inlineStr">
        <is>
          <t>¥25–30</t>
        </is>
      </c>
      <c r="J362" s="29" t="n">
        <v>24</v>
      </c>
      <c r="K362" s="29" t="n">
        <v>36</v>
      </c>
      <c r="L362" s="37" t="n">
        <v>6</v>
      </c>
      <c r="M362" s="28" t="n">
        <v>5.8</v>
      </c>
      <c r="N362" s="32" t="inlineStr">
        <is>
          <t>常规备选，放在长尾分类；用低价冲量，不单独投流</t>
        </is>
      </c>
    </row>
    <row r="363">
      <c r="A363" s="25" t="n">
        <v>361</v>
      </c>
      <c r="B363" s="25" t="inlineStr">
        <is>
          <t>美悟</t>
        </is>
      </c>
      <c r="C363" s="35" t="inlineStr">
        <is>
          <t>B</t>
        </is>
      </c>
      <c r="D363" s="26" t="inlineStr">
        <is>
          <t>超声波洁牙器</t>
        </is>
      </c>
      <c r="E363" s="26" t="inlineStr">
        <is>
          <t>洁牙器</t>
        </is>
      </c>
      <c r="F363" s="26" t="inlineStr">
        <is>
          <t>美悟/洁牙器/紫色/JYQ-006</t>
        </is>
      </c>
      <c r="G363" s="26" t="inlineStr">
        <is>
          <t>YCQJQ-08</t>
        </is>
      </c>
      <c r="H363" s="29" t="n">
        <v>28</v>
      </c>
      <c r="I363" s="25" t="inlineStr">
        <is>
          <t>¥25–30</t>
        </is>
      </c>
      <c r="J363" s="29" t="n">
        <v>24</v>
      </c>
      <c r="K363" s="29" t="n">
        <v>36</v>
      </c>
      <c r="L363" s="37" t="n">
        <v>6</v>
      </c>
      <c r="M363" s="28" t="n">
        <v>5.8</v>
      </c>
      <c r="N363" s="32" t="inlineStr">
        <is>
          <t>常规备选，放在长尾分类；用低价冲量，不单独投流</t>
        </is>
      </c>
    </row>
    <row r="364">
      <c r="A364" s="25" t="n">
        <v>362</v>
      </c>
      <c r="B364" s="25" t="inlineStr">
        <is>
          <t>美悟</t>
        </is>
      </c>
      <c r="C364" s="35" t="inlineStr">
        <is>
          <t>B</t>
        </is>
      </c>
      <c r="D364" s="26" t="inlineStr">
        <is>
          <t>超声波洁牙器</t>
        </is>
      </c>
      <c r="E364" s="26" t="inlineStr">
        <is>
          <t>洁牙器</t>
        </is>
      </c>
      <c r="F364" s="26" t="inlineStr">
        <is>
          <t>美悟/洁牙器/灰色/JYQ-006</t>
        </is>
      </c>
      <c r="G364" s="26" t="inlineStr">
        <is>
          <t>YCQJQ-09</t>
        </is>
      </c>
      <c r="H364" s="29" t="n">
        <v>28</v>
      </c>
      <c r="I364" s="25" t="inlineStr">
        <is>
          <t>¥25–30</t>
        </is>
      </c>
      <c r="J364" s="29" t="n">
        <v>24</v>
      </c>
      <c r="K364" s="29" t="n">
        <v>36</v>
      </c>
      <c r="L364" s="37" t="n">
        <v>6</v>
      </c>
      <c r="M364" s="28" t="n">
        <v>5.8</v>
      </c>
      <c r="N364" s="32" t="inlineStr">
        <is>
          <t>常规备选，放在长尾分类；用低价冲量，不单独投流</t>
        </is>
      </c>
    </row>
    <row r="365">
      <c r="A365" s="25" t="n">
        <v>363</v>
      </c>
      <c r="B365" s="25" t="inlineStr">
        <is>
          <t>通货</t>
        </is>
      </c>
      <c r="C365" s="35" t="inlineStr">
        <is>
          <t>B</t>
        </is>
      </c>
      <c r="D365" s="26" t="inlineStr">
        <is>
          <t>超声波洁牙器</t>
        </is>
      </c>
      <c r="E365" s="26" t="inlineStr">
        <is>
          <t>电动洁牙器</t>
        </is>
      </c>
      <c r="F365" s="26" t="inlineStr">
        <is>
          <t>牙齿护理仪/电池款/白色</t>
        </is>
      </c>
      <c r="G365" s="26" t="inlineStr">
        <is>
          <t>YCHLY-04</t>
        </is>
      </c>
      <c r="H365" s="29" t="n">
        <v>28</v>
      </c>
      <c r="I365" s="25" t="inlineStr">
        <is>
          <t>¥25–30</t>
        </is>
      </c>
      <c r="J365" s="29" t="n">
        <v>24</v>
      </c>
      <c r="K365" s="29" t="n">
        <v>36</v>
      </c>
      <c r="L365" s="37" t="n">
        <v>6</v>
      </c>
      <c r="M365" s="28" t="n">
        <v>5.8</v>
      </c>
      <c r="N365" s="32" t="inlineStr">
        <is>
          <t>常规备选，放在长尾分类；用低价冲量，不单独投流</t>
        </is>
      </c>
    </row>
    <row r="366">
      <c r="A366" s="25" t="n">
        <v>364</v>
      </c>
      <c r="B366" s="25" t="inlineStr">
        <is>
          <t>mericle</t>
        </is>
      </c>
      <c r="C366" s="35" t="inlineStr">
        <is>
          <t>B</t>
        </is>
      </c>
      <c r="D366" s="26" t="inlineStr">
        <is>
          <t>化妆刷清洗器</t>
        </is>
      </c>
      <c r="E366" s="26" t="inlineStr">
        <is>
          <t>化妆刷清洗器</t>
        </is>
      </c>
      <c r="F366" s="26" t="inlineStr">
        <is>
          <t>Mericle/化妆刷清洗器</t>
        </is>
      </c>
      <c r="G366" s="26" t="inlineStr">
        <is>
          <t>Mericle-QXQ-01</t>
        </is>
      </c>
      <c r="H366" s="29" t="n">
        <v>4</v>
      </c>
      <c r="I366" s="25" t="inlineStr">
        <is>
          <t>¥3–4</t>
        </is>
      </c>
      <c r="J366" s="29" t="n">
        <v>3</v>
      </c>
      <c r="K366" s="29" t="n">
        <v>15</v>
      </c>
      <c r="L366" s="37" t="n">
        <v>11</v>
      </c>
      <c r="M366" s="28" t="n">
        <v>5.79</v>
      </c>
      <c r="N366" s="32" t="inlineStr">
        <is>
          <t>常规备选，放在长尾分类；用低价冲量，不单独投流</t>
        </is>
      </c>
    </row>
    <row r="367">
      <c r="A367" s="25" t="n">
        <v>365</v>
      </c>
      <c r="B367" s="25" t="inlineStr">
        <is>
          <t>mericle</t>
        </is>
      </c>
      <c r="C367" s="35" t="inlineStr">
        <is>
          <t>B</t>
        </is>
      </c>
      <c r="D367" s="26" t="inlineStr">
        <is>
          <t>化妆刷清洗器</t>
        </is>
      </c>
      <c r="E367" s="26" t="inlineStr">
        <is>
          <t>化妆刷清洗盒</t>
        </is>
      </c>
      <c r="F367" s="26" t="inlineStr">
        <is>
          <t>Mericle/二代化妆刷清洗器</t>
        </is>
      </c>
      <c r="G367" s="26" t="inlineStr">
        <is>
          <t>Mericle-QXQ-02</t>
        </is>
      </c>
      <c r="H367" s="29" t="n">
        <v>4</v>
      </c>
      <c r="I367" s="25" t="inlineStr">
        <is>
          <t>¥3–4</t>
        </is>
      </c>
      <c r="J367" s="29" t="n">
        <v>3</v>
      </c>
      <c r="K367" s="29" t="n">
        <v>15</v>
      </c>
      <c r="L367" s="37" t="n">
        <v>11</v>
      </c>
      <c r="M367" s="28" t="n">
        <v>5.79</v>
      </c>
      <c r="N367" s="32" t="inlineStr">
        <is>
          <t>常规备选，放在长尾分类；用低价冲量，不单独投流</t>
        </is>
      </c>
    </row>
    <row r="368">
      <c r="A368" s="25" t="n">
        <v>366</v>
      </c>
      <c r="B368" s="25" t="inlineStr">
        <is>
          <t>mericle</t>
        </is>
      </c>
      <c r="C368" s="35" t="inlineStr">
        <is>
          <t>B</t>
        </is>
      </c>
      <c r="D368" s="26" t="inlineStr">
        <is>
          <t>电动剃须刀</t>
        </is>
      </c>
      <c r="E368" s="26" t="inlineStr">
        <is>
          <t>mericle电动剃须刀</t>
        </is>
      </c>
      <c r="F368" s="26" t="inlineStr">
        <is>
          <t>M 电动剃须刀</t>
        </is>
      </c>
      <c r="G368" s="26" t="inlineStr">
        <is>
          <t>TXD-23</t>
        </is>
      </c>
      <c r="H368" s="29" t="n">
        <v>26</v>
      </c>
      <c r="I368" s="25" t="inlineStr">
        <is>
          <t>¥24–28</t>
        </is>
      </c>
      <c r="J368" s="29" t="n">
        <v>23</v>
      </c>
      <c r="K368" s="29" t="n">
        <v>39</v>
      </c>
      <c r="L368" s="37" t="n">
        <v>4</v>
      </c>
      <c r="M368" s="28" t="n">
        <v>5.78</v>
      </c>
      <c r="N368" s="32" t="inlineStr">
        <is>
          <t>常规备选，放在长尾分类；用低价冲量，不单独投流</t>
        </is>
      </c>
    </row>
    <row r="369">
      <c r="A369" s="25" t="n">
        <v>367</v>
      </c>
      <c r="B369" s="25" t="inlineStr">
        <is>
          <t>mericle</t>
        </is>
      </c>
      <c r="C369" s="35" t="inlineStr">
        <is>
          <t>B</t>
        </is>
      </c>
      <c r="D369" s="26" t="inlineStr">
        <is>
          <t>电动剃须刀</t>
        </is>
      </c>
      <c r="E369" s="26" t="inlineStr">
        <is>
          <t>mericle迷你电动剃须刀</t>
        </is>
      </c>
      <c r="F369" s="26" t="inlineStr">
        <is>
          <t>M/迷你剃须刀/银色</t>
        </is>
      </c>
      <c r="G369" s="26" t="inlineStr">
        <is>
          <t>TXD-28</t>
        </is>
      </c>
      <c r="H369" s="29" t="n">
        <v>26</v>
      </c>
      <c r="I369" s="25" t="inlineStr">
        <is>
          <t>¥24–28</t>
        </is>
      </c>
      <c r="J369" s="29" t="n">
        <v>23</v>
      </c>
      <c r="K369" s="29" t="n">
        <v>39</v>
      </c>
      <c r="L369" s="37" t="n">
        <v>4</v>
      </c>
      <c r="M369" s="28" t="n">
        <v>5.78</v>
      </c>
      <c r="N369" s="32" t="inlineStr">
        <is>
          <t>常规备选，放在长尾分类；用低价冲量，不单独投流</t>
        </is>
      </c>
    </row>
    <row r="370">
      <c r="A370" s="25" t="n">
        <v>368</v>
      </c>
      <c r="B370" s="25" t="inlineStr">
        <is>
          <t>mericle</t>
        </is>
      </c>
      <c r="C370" s="35" t="inlineStr">
        <is>
          <t>B</t>
        </is>
      </c>
      <c r="D370" s="26" t="inlineStr">
        <is>
          <t>电动剃须刀</t>
        </is>
      </c>
      <c r="E370" s="26" t="inlineStr">
        <is>
          <t>mericle迷你电动剃须刀</t>
        </is>
      </c>
      <c r="F370" s="26" t="inlineStr">
        <is>
          <t>M/迷你剃须刀/渐变蓝</t>
        </is>
      </c>
      <c r="G370" s="26" t="inlineStr">
        <is>
          <t>TXD-29</t>
        </is>
      </c>
      <c r="H370" s="29" t="n">
        <v>26</v>
      </c>
      <c r="I370" s="25" t="inlineStr">
        <is>
          <t>¥24–28</t>
        </is>
      </c>
      <c r="J370" s="29" t="n">
        <v>23</v>
      </c>
      <c r="K370" s="29" t="n">
        <v>39</v>
      </c>
      <c r="L370" s="37" t="n">
        <v>4</v>
      </c>
      <c r="M370" s="28" t="n">
        <v>5.78</v>
      </c>
      <c r="N370" s="32" t="inlineStr">
        <is>
          <t>常规备选，放在长尾分类；用低价冲量，不单独投流</t>
        </is>
      </c>
    </row>
    <row r="371">
      <c r="A371" s="25" t="n">
        <v>369</v>
      </c>
      <c r="B371" s="25" t="inlineStr">
        <is>
          <t>mericle</t>
        </is>
      </c>
      <c r="C371" s="35" t="inlineStr">
        <is>
          <t>B</t>
        </is>
      </c>
      <c r="D371" s="26" t="inlineStr">
        <is>
          <t>电动剃须刀</t>
        </is>
      </c>
      <c r="E371" s="26" t="inlineStr">
        <is>
          <t>mericle剃须刀</t>
        </is>
      </c>
      <c r="F371" s="26" t="inlineStr">
        <is>
          <t>M/手持剃须刀/银色</t>
        </is>
      </c>
      <c r="G371" s="26" t="inlineStr">
        <is>
          <t>TXD-32</t>
        </is>
      </c>
      <c r="H371" s="29" t="n">
        <v>26</v>
      </c>
      <c r="I371" s="25" t="inlineStr">
        <is>
          <t>¥24–28</t>
        </is>
      </c>
      <c r="J371" s="29" t="n">
        <v>23</v>
      </c>
      <c r="K371" s="29" t="n">
        <v>39</v>
      </c>
      <c r="L371" s="37" t="n">
        <v>4</v>
      </c>
      <c r="M371" s="28" t="n">
        <v>5.78</v>
      </c>
      <c r="N371" s="32" t="inlineStr">
        <is>
          <t>常规备选，放在长尾分类；用低价冲量，不单独投流</t>
        </is>
      </c>
    </row>
    <row r="372">
      <c r="A372" s="25" t="n">
        <v>370</v>
      </c>
      <c r="B372" s="25" t="inlineStr">
        <is>
          <t>mericle</t>
        </is>
      </c>
      <c r="C372" s="35" t="inlineStr">
        <is>
          <t>B</t>
        </is>
      </c>
      <c r="D372" s="26" t="inlineStr">
        <is>
          <t>电动剃须刀</t>
        </is>
      </c>
      <c r="E372" s="26" t="inlineStr">
        <is>
          <t>mericle剃须刀</t>
        </is>
      </c>
      <c r="F372" s="26" t="inlineStr">
        <is>
          <t>M/手持剃须刀/浅绿色</t>
        </is>
      </c>
      <c r="G372" s="26" t="inlineStr">
        <is>
          <t>TXD-33</t>
        </is>
      </c>
      <c r="H372" s="29" t="n">
        <v>26</v>
      </c>
      <c r="I372" s="25" t="inlineStr">
        <is>
          <t>¥24–28</t>
        </is>
      </c>
      <c r="J372" s="29" t="n">
        <v>23</v>
      </c>
      <c r="K372" s="29" t="n">
        <v>39</v>
      </c>
      <c r="L372" s="37" t="n">
        <v>4</v>
      </c>
      <c r="M372" s="28" t="n">
        <v>5.78</v>
      </c>
      <c r="N372" s="32" t="inlineStr">
        <is>
          <t>常规备选，放在长尾分类；用低价冲量，不单独投流</t>
        </is>
      </c>
    </row>
    <row r="373">
      <c r="A373" s="25" t="n">
        <v>371</v>
      </c>
      <c r="B373" s="25" t="inlineStr">
        <is>
          <t>mericle</t>
        </is>
      </c>
      <c r="C373" s="35" t="inlineStr">
        <is>
          <t>B</t>
        </is>
      </c>
      <c r="D373" s="26" t="inlineStr">
        <is>
          <t>电动剃须刀</t>
        </is>
      </c>
      <c r="E373" s="26" t="inlineStr">
        <is>
          <t>mericle剃须刀</t>
        </is>
      </c>
      <c r="F373" s="26" t="inlineStr">
        <is>
          <t>M/菱形剃须刀/银色</t>
        </is>
      </c>
      <c r="G373" s="26" t="inlineStr">
        <is>
          <t>TXD-42</t>
        </is>
      </c>
      <c r="H373" s="29" t="n">
        <v>26</v>
      </c>
      <c r="I373" s="25" t="inlineStr">
        <is>
          <t>¥24–28</t>
        </is>
      </c>
      <c r="J373" s="29" t="n">
        <v>23</v>
      </c>
      <c r="K373" s="29" t="n">
        <v>39</v>
      </c>
      <c r="L373" s="37" t="n">
        <v>4</v>
      </c>
      <c r="M373" s="28" t="n">
        <v>5.78</v>
      </c>
      <c r="N373" s="32" t="inlineStr">
        <is>
          <t>常规备选，放在长尾分类；用低价冲量，不单独投流</t>
        </is>
      </c>
    </row>
    <row r="374">
      <c r="A374" s="25" t="n">
        <v>372</v>
      </c>
      <c r="B374" s="25" t="inlineStr">
        <is>
          <t>mericle</t>
        </is>
      </c>
      <c r="C374" s="35" t="inlineStr">
        <is>
          <t>B</t>
        </is>
      </c>
      <c r="D374" s="26" t="inlineStr">
        <is>
          <t>电动剃须刀</t>
        </is>
      </c>
      <c r="E374" s="26" t="inlineStr">
        <is>
          <t>mericle电动剃须刀</t>
        </is>
      </c>
      <c r="F374" s="26" t="inlineStr">
        <is>
          <t>M 卓创剃须刀</t>
        </is>
      </c>
      <c r="G374" s="26" t="inlineStr">
        <is>
          <t>TXD-25</t>
        </is>
      </c>
      <c r="H374" s="29" t="n">
        <v>26</v>
      </c>
      <c r="I374" s="25" t="inlineStr">
        <is>
          <t>¥24–28</t>
        </is>
      </c>
      <c r="J374" s="29" t="n">
        <v>23</v>
      </c>
      <c r="K374" s="29" t="n">
        <v>39</v>
      </c>
      <c r="L374" s="37" t="n">
        <v>4</v>
      </c>
      <c r="M374" s="28" t="n">
        <v>5.78</v>
      </c>
      <c r="N374" s="32" t="inlineStr">
        <is>
          <t>常规备选，放在长尾分类；用低价冲量，不单独投流</t>
        </is>
      </c>
    </row>
    <row r="375">
      <c r="A375" s="25" t="n">
        <v>373</v>
      </c>
      <c r="B375" s="25" t="inlineStr">
        <is>
          <t>mericle</t>
        </is>
      </c>
      <c r="C375" s="35" t="inlineStr">
        <is>
          <t>B</t>
        </is>
      </c>
      <c r="D375" s="26" t="inlineStr">
        <is>
          <t>电动剃须刀</t>
        </is>
      </c>
      <c r="E375" s="26" t="inlineStr">
        <is>
          <t>mericle电动剃须刀</t>
        </is>
      </c>
      <c r="F375" s="26" t="inlineStr">
        <is>
          <t>M/三头剃须刀/二代</t>
        </is>
      </c>
      <c r="G375" s="26" t="inlineStr">
        <is>
          <t>TXD-37</t>
        </is>
      </c>
      <c r="H375" s="29" t="n">
        <v>26</v>
      </c>
      <c r="I375" s="25" t="inlineStr">
        <is>
          <t>¥24–28</t>
        </is>
      </c>
      <c r="J375" s="29" t="n">
        <v>23</v>
      </c>
      <c r="K375" s="29" t="n">
        <v>39</v>
      </c>
      <c r="L375" s="37" t="n">
        <v>4</v>
      </c>
      <c r="M375" s="28" t="n">
        <v>5.78</v>
      </c>
      <c r="N375" s="32" t="inlineStr">
        <is>
          <t>常规备选，放在长尾分类；用低价冲量，不单独投流</t>
        </is>
      </c>
    </row>
    <row r="376">
      <c r="A376" s="25" t="n">
        <v>374</v>
      </c>
      <c r="B376" s="25" t="inlineStr">
        <is>
          <t>mericle</t>
        </is>
      </c>
      <c r="C376" s="35" t="inlineStr">
        <is>
          <t>B</t>
        </is>
      </c>
      <c r="D376" s="26" t="inlineStr">
        <is>
          <t>电动剃须刀</t>
        </is>
      </c>
      <c r="E376" s="26" t="inlineStr">
        <is>
          <t>电动剃须刀</t>
        </is>
      </c>
      <c r="F376" s="26" t="inlineStr">
        <is>
          <t>Mericle/双头剃须刀/金色</t>
        </is>
      </c>
      <c r="G376" s="26" t="inlineStr">
        <is>
          <t>TXD-69</t>
        </is>
      </c>
      <c r="H376" s="29" t="n">
        <v>26</v>
      </c>
      <c r="I376" s="25" t="inlineStr">
        <is>
          <t>¥24–28</t>
        </is>
      </c>
      <c r="J376" s="29" t="n">
        <v>23</v>
      </c>
      <c r="K376" s="29" t="n">
        <v>39</v>
      </c>
      <c r="L376" s="37" t="n">
        <v>4</v>
      </c>
      <c r="M376" s="28" t="n">
        <v>5.78</v>
      </c>
      <c r="N376" s="32" t="inlineStr">
        <is>
          <t>常规备选，放在长尾分类；用低价冲量，不单独投流</t>
        </is>
      </c>
    </row>
    <row r="377">
      <c r="A377" s="25" t="n">
        <v>375</v>
      </c>
      <c r="B377" s="25" t="inlineStr">
        <is>
          <t>mericle</t>
        </is>
      </c>
      <c r="C377" s="35" t="inlineStr">
        <is>
          <t>B</t>
        </is>
      </c>
      <c r="D377" s="26" t="inlineStr">
        <is>
          <t>电动剃须刀</t>
        </is>
      </c>
      <c r="E377" s="26" t="inlineStr">
        <is>
          <t>电动剃须刀</t>
        </is>
      </c>
      <c r="F377" s="26" t="inlineStr">
        <is>
          <t>Mericle/二代双头剃须刀/黑色</t>
        </is>
      </c>
      <c r="G377" s="26" t="inlineStr">
        <is>
          <t>TXD-81</t>
        </is>
      </c>
      <c r="H377" s="29" t="n">
        <v>26</v>
      </c>
      <c r="I377" s="25" t="inlineStr">
        <is>
          <t>¥24–28</t>
        </is>
      </c>
      <c r="J377" s="29" t="n">
        <v>23</v>
      </c>
      <c r="K377" s="29" t="n">
        <v>39</v>
      </c>
      <c r="L377" s="37" t="n">
        <v>4</v>
      </c>
      <c r="M377" s="28" t="n">
        <v>5.78</v>
      </c>
      <c r="N377" s="32" t="inlineStr">
        <is>
          <t>常规备选，放在长尾分类；用低价冲量，不单独投流</t>
        </is>
      </c>
    </row>
    <row r="378">
      <c r="A378" s="25" t="n">
        <v>376</v>
      </c>
      <c r="B378" s="25" t="inlineStr">
        <is>
          <t>mericle</t>
        </is>
      </c>
      <c r="C378" s="35" t="inlineStr">
        <is>
          <t>B</t>
        </is>
      </c>
      <c r="D378" s="26" t="inlineStr">
        <is>
          <t>电动剃须刀</t>
        </is>
      </c>
      <c r="E378" s="26" t="inlineStr">
        <is>
          <t>电动剃须刀</t>
        </is>
      </c>
      <c r="F378" s="26" t="inlineStr">
        <is>
          <t>Mericle/二代双头剃须刀/橙色</t>
        </is>
      </c>
      <c r="G378" s="26" t="inlineStr">
        <is>
          <t>TXD-82</t>
        </is>
      </c>
      <c r="H378" s="29" t="n">
        <v>26</v>
      </c>
      <c r="I378" s="25" t="inlineStr">
        <is>
          <t>¥24–28</t>
        </is>
      </c>
      <c r="J378" s="29" t="n">
        <v>23</v>
      </c>
      <c r="K378" s="29" t="n">
        <v>39</v>
      </c>
      <c r="L378" s="37" t="n">
        <v>4</v>
      </c>
      <c r="M378" s="28" t="n">
        <v>5.78</v>
      </c>
      <c r="N378" s="32" t="inlineStr">
        <is>
          <t>常规备选，放在长尾分类；用低价冲量，不单独投流</t>
        </is>
      </c>
    </row>
    <row r="379">
      <c r="A379" s="25" t="n">
        <v>377</v>
      </c>
      <c r="B379" s="25" t="inlineStr">
        <is>
          <t>mericle</t>
        </is>
      </c>
      <c r="C379" s="35" t="inlineStr">
        <is>
          <t>B</t>
        </is>
      </c>
      <c r="D379" s="26" t="inlineStr">
        <is>
          <t>电动剃须刀</t>
        </is>
      </c>
      <c r="E379" s="26" t="inlineStr">
        <is>
          <t>电动剃须刀</t>
        </is>
      </c>
      <c r="F379" s="26" t="inlineStr">
        <is>
          <t>Mericle/三代透明双头剃须刀/黑色/TX19</t>
        </is>
      </c>
      <c r="G379" s="26" t="inlineStr">
        <is>
          <t>TXD-87</t>
        </is>
      </c>
      <c r="H379" s="29" t="n">
        <v>26</v>
      </c>
      <c r="I379" s="25" t="inlineStr">
        <is>
          <t>¥24–28</t>
        </is>
      </c>
      <c r="J379" s="29" t="n">
        <v>23</v>
      </c>
      <c r="K379" s="29" t="n">
        <v>39</v>
      </c>
      <c r="L379" s="37" t="n">
        <v>4</v>
      </c>
      <c r="M379" s="28" t="n">
        <v>5.78</v>
      </c>
      <c r="N379" s="32" t="inlineStr">
        <is>
          <t>常规备选，放在长尾分类；用低价冲量，不单独投流</t>
        </is>
      </c>
    </row>
    <row r="380">
      <c r="A380" s="25" t="n">
        <v>378</v>
      </c>
      <c r="B380" s="25" t="inlineStr">
        <is>
          <t>mericle</t>
        </is>
      </c>
      <c r="C380" s="35" t="inlineStr">
        <is>
          <t>B</t>
        </is>
      </c>
      <c r="D380" s="26" t="inlineStr">
        <is>
          <t>电动剃须刀</t>
        </is>
      </c>
      <c r="E380" s="26" t="inlineStr">
        <is>
          <t>电动剃须刀</t>
        </is>
      </c>
      <c r="F380" s="26" t="inlineStr">
        <is>
          <t>Mericle/三代透明双头剃须刀/蓝色/TX19</t>
        </is>
      </c>
      <c r="G380" s="26" t="inlineStr">
        <is>
          <t>TXD-88</t>
        </is>
      </c>
      <c r="H380" s="29" t="n">
        <v>26</v>
      </c>
      <c r="I380" s="25" t="inlineStr">
        <is>
          <t>¥24–28</t>
        </is>
      </c>
      <c r="J380" s="29" t="n">
        <v>23</v>
      </c>
      <c r="K380" s="29" t="n">
        <v>39</v>
      </c>
      <c r="L380" s="37" t="n">
        <v>4</v>
      </c>
      <c r="M380" s="28" t="n">
        <v>5.78</v>
      </c>
      <c r="N380" s="32" t="inlineStr">
        <is>
          <t>常规备选，放在长尾分类；用低价冲量，不单独投流</t>
        </is>
      </c>
    </row>
    <row r="381">
      <c r="A381" s="25" t="n">
        <v>379</v>
      </c>
      <c r="B381" s="25" t="inlineStr">
        <is>
          <t>mericle</t>
        </is>
      </c>
      <c r="C381" s="35" t="inlineStr">
        <is>
          <t>B</t>
        </is>
      </c>
      <c r="D381" s="26" t="inlineStr">
        <is>
          <t>迷你洗衣机</t>
        </is>
      </c>
      <c r="E381" s="26" t="inlineStr">
        <is>
          <t>无线充电迷你洗衣机</t>
        </is>
      </c>
      <c r="F381" s="26" t="inlineStr">
        <is>
          <t>Mericle/双杯洗衣机/CRY-986</t>
        </is>
      </c>
      <c r="G381" s="26" t="inlineStr">
        <is>
          <t>XYJ-03</t>
        </is>
      </c>
      <c r="H381" s="29" t="n">
        <v>24</v>
      </c>
      <c r="I381" s="25" t="inlineStr">
        <is>
          <t>¥18–31</t>
        </is>
      </c>
      <c r="J381" s="29" t="n">
        <v>17</v>
      </c>
      <c r="K381" s="29" t="n">
        <v>68</v>
      </c>
      <c r="L381" s="37" t="n">
        <v>7</v>
      </c>
      <c r="M381" s="28" t="n">
        <v>5.78</v>
      </c>
      <c r="N381" s="32" t="inlineStr">
        <is>
          <t>常规备选，放在长尾分类；用低价冲量，不单独投流</t>
        </is>
      </c>
    </row>
    <row r="382">
      <c r="A382" s="25" t="n">
        <v>380</v>
      </c>
      <c r="B382" s="25" t="inlineStr">
        <is>
          <t>mericle</t>
        </is>
      </c>
      <c r="C382" s="35" t="inlineStr">
        <is>
          <t>B</t>
        </is>
      </c>
      <c r="D382" s="26" t="inlineStr">
        <is>
          <t>迷你洗衣机</t>
        </is>
      </c>
      <c r="E382" s="26" t="inlineStr">
        <is>
          <t>迷你洗衣机</t>
        </is>
      </c>
      <c r="F382" s="26" t="inlineStr">
        <is>
          <t>Mericle/迷你洗衣机/JH01</t>
        </is>
      </c>
      <c r="G382" s="26" t="inlineStr">
        <is>
          <t>XYJ-05</t>
        </is>
      </c>
      <c r="H382" s="29" t="n">
        <v>24</v>
      </c>
      <c r="I382" s="25" t="inlineStr">
        <is>
          <t>¥18–31</t>
        </is>
      </c>
      <c r="J382" s="29" t="n">
        <v>17</v>
      </c>
      <c r="K382" s="29" t="n">
        <v>68</v>
      </c>
      <c r="L382" s="37" t="n">
        <v>7</v>
      </c>
      <c r="M382" s="28" t="n">
        <v>5.78</v>
      </c>
      <c r="N382" s="32" t="inlineStr">
        <is>
          <t>常规备选，放在长尾分类；用低价冲量，不单独投流</t>
        </is>
      </c>
    </row>
    <row r="383">
      <c r="A383" s="25" t="n">
        <v>381</v>
      </c>
      <c r="B383" s="25" t="inlineStr">
        <is>
          <t>mericle</t>
        </is>
      </c>
      <c r="C383" s="35" t="inlineStr">
        <is>
          <t>B</t>
        </is>
      </c>
      <c r="D383" s="26" t="inlineStr">
        <is>
          <t>电动剃须刀</t>
        </is>
      </c>
      <c r="E383" s="26" t="inlineStr">
        <is>
          <t>多功能剃须刀</t>
        </is>
      </c>
      <c r="F383" s="26" t="inlineStr">
        <is>
          <t>Mericle/多功能剃须刀/黑色/YC-808</t>
        </is>
      </c>
      <c r="G383" s="26" t="inlineStr">
        <is>
          <t>TXD-103</t>
        </is>
      </c>
      <c r="H383" s="29" t="n">
        <v>26</v>
      </c>
      <c r="I383" s="25" t="inlineStr">
        <is>
          <t>¥24–28</t>
        </is>
      </c>
      <c r="J383" s="29" t="n">
        <v>23</v>
      </c>
      <c r="K383" s="29" t="n">
        <v>39</v>
      </c>
      <c r="L383" s="37" t="n">
        <v>4</v>
      </c>
      <c r="M383" s="28" t="n">
        <v>5.78</v>
      </c>
      <c r="N383" s="32" t="inlineStr">
        <is>
          <t>常规备选，放在长尾分类；用低价冲量，不单独投流</t>
        </is>
      </c>
    </row>
    <row r="384">
      <c r="A384" s="25" t="n">
        <v>382</v>
      </c>
      <c r="B384" s="25" t="inlineStr">
        <is>
          <t>mericle</t>
        </is>
      </c>
      <c r="C384" s="35" t="inlineStr">
        <is>
          <t>B</t>
        </is>
      </c>
      <c r="D384" s="26" t="inlineStr">
        <is>
          <t>电动剃须刀</t>
        </is>
      </c>
      <c r="E384" s="26" t="inlineStr">
        <is>
          <t>多功能剃须刀</t>
        </is>
      </c>
      <c r="F384" s="26" t="inlineStr">
        <is>
          <t>Mericle/多功能剃须刀/蓝色/YC-808</t>
        </is>
      </c>
      <c r="G384" s="26" t="inlineStr">
        <is>
          <t>TXD-104</t>
        </is>
      </c>
      <c r="H384" s="29" t="n">
        <v>26</v>
      </c>
      <c r="I384" s="25" t="inlineStr">
        <is>
          <t>¥24–28</t>
        </is>
      </c>
      <c r="J384" s="29" t="n">
        <v>23</v>
      </c>
      <c r="K384" s="29" t="n">
        <v>39</v>
      </c>
      <c r="L384" s="37" t="n">
        <v>4</v>
      </c>
      <c r="M384" s="28" t="n">
        <v>5.78</v>
      </c>
      <c r="N384" s="32" t="inlineStr">
        <is>
          <t>常规备选，放在长尾分类；用低价冲量，不单独投流</t>
        </is>
      </c>
    </row>
    <row r="385">
      <c r="A385" s="25" t="n">
        <v>383</v>
      </c>
      <c r="B385" s="25" t="inlineStr">
        <is>
          <t>康佳</t>
        </is>
      </c>
      <c r="C385" s="35" t="inlineStr">
        <is>
          <t>B</t>
        </is>
      </c>
      <c r="D385" s="26" t="inlineStr">
        <is>
          <t>电动剃须刀</t>
        </is>
      </c>
      <c r="E385" s="26" t="inlineStr">
        <is>
          <t>康佳电动剃须刀</t>
        </is>
      </c>
      <c r="F385" s="26" t="inlineStr">
        <is>
          <t>康佳卓创电动剃须刀</t>
        </is>
      </c>
      <c r="G385" s="26" t="inlineStr">
        <is>
          <t>KTXD-3708-T-01</t>
        </is>
      </c>
      <c r="H385" s="29" t="n">
        <v>26</v>
      </c>
      <c r="I385" s="25" t="inlineStr">
        <is>
          <t>¥24–28</t>
        </is>
      </c>
      <c r="J385" s="29" t="n">
        <v>23</v>
      </c>
      <c r="K385" s="29" t="n">
        <v>39</v>
      </c>
      <c r="L385" s="37" t="n">
        <v>4</v>
      </c>
      <c r="M385" s="28" t="n">
        <v>5.78</v>
      </c>
      <c r="N385" s="32" t="inlineStr">
        <is>
          <t>常规备选，放在长尾分类；用低价冲量，不单独投流</t>
        </is>
      </c>
    </row>
    <row r="386">
      <c r="A386" s="25" t="n">
        <v>384</v>
      </c>
      <c r="B386" s="25" t="inlineStr">
        <is>
          <t>康佳</t>
        </is>
      </c>
      <c r="C386" s="35" t="inlineStr">
        <is>
          <t>B</t>
        </is>
      </c>
      <c r="D386" s="26" t="inlineStr">
        <is>
          <t>电动剃须刀</t>
        </is>
      </c>
      <c r="E386" s="26" t="inlineStr">
        <is>
          <t>康佳剃须刀</t>
        </is>
      </c>
      <c r="F386" s="26" t="inlineStr">
        <is>
          <t>康佳/三头剃须刀/五代/黑色</t>
        </is>
      </c>
      <c r="G386" s="26" t="inlineStr">
        <is>
          <t>TXD-55</t>
        </is>
      </c>
      <c r="H386" s="29" t="n">
        <v>26</v>
      </c>
      <c r="I386" s="25" t="inlineStr">
        <is>
          <t>¥24–28</t>
        </is>
      </c>
      <c r="J386" s="29" t="n">
        <v>23</v>
      </c>
      <c r="K386" s="29" t="n">
        <v>39</v>
      </c>
      <c r="L386" s="37" t="n">
        <v>4</v>
      </c>
      <c r="M386" s="28" t="n">
        <v>5.78</v>
      </c>
      <c r="N386" s="32" t="inlineStr">
        <is>
          <t>常规备选，放在长尾分类；用低价冲量，不单独投流</t>
        </is>
      </c>
    </row>
    <row r="387">
      <c r="A387" s="25" t="n">
        <v>385</v>
      </c>
      <c r="B387" s="25" t="inlineStr">
        <is>
          <t>康佳</t>
        </is>
      </c>
      <c r="C387" s="35" t="inlineStr">
        <is>
          <t>B</t>
        </is>
      </c>
      <c r="D387" s="26" t="inlineStr">
        <is>
          <t>电动剃须刀</t>
        </is>
      </c>
      <c r="E387" s="26" t="inlineStr">
        <is>
          <t>康佳剃须刀</t>
        </is>
      </c>
      <c r="F387" s="26" t="inlineStr">
        <is>
          <t>康佳/无线双头剃须刀/黑色</t>
        </is>
      </c>
      <c r="G387" s="26" t="inlineStr">
        <is>
          <t>TXD-56</t>
        </is>
      </c>
      <c r="H387" s="29" t="n">
        <v>26</v>
      </c>
      <c r="I387" s="25" t="inlineStr">
        <is>
          <t>¥24–28</t>
        </is>
      </c>
      <c r="J387" s="29" t="n">
        <v>23</v>
      </c>
      <c r="K387" s="29" t="n">
        <v>39</v>
      </c>
      <c r="L387" s="37" t="n">
        <v>4</v>
      </c>
      <c r="M387" s="28" t="n">
        <v>5.78</v>
      </c>
      <c r="N387" s="32" t="inlineStr">
        <is>
          <t>常规备选，放在长尾分类；用低价冲量，不单独投流</t>
        </is>
      </c>
    </row>
    <row r="388">
      <c r="A388" s="25" t="n">
        <v>386</v>
      </c>
      <c r="B388" s="25" t="inlineStr">
        <is>
          <t>康佳</t>
        </is>
      </c>
      <c r="C388" s="35" t="inlineStr">
        <is>
          <t>B</t>
        </is>
      </c>
      <c r="D388" s="26" t="inlineStr">
        <is>
          <t>电动剃须刀</t>
        </is>
      </c>
      <c r="E388" s="26" t="inlineStr">
        <is>
          <t>康佳剃须刀</t>
        </is>
      </c>
      <c r="F388" s="26" t="inlineStr">
        <is>
          <t>康佳/无线双头剃须刀/银色</t>
        </is>
      </c>
      <c r="G388" s="26" t="inlineStr">
        <is>
          <t>TXD-57</t>
        </is>
      </c>
      <c r="H388" s="29" t="n">
        <v>26</v>
      </c>
      <c r="I388" s="25" t="inlineStr">
        <is>
          <t>¥24–28</t>
        </is>
      </c>
      <c r="J388" s="29" t="n">
        <v>23</v>
      </c>
      <c r="K388" s="29" t="n">
        <v>39</v>
      </c>
      <c r="L388" s="37" t="n">
        <v>4</v>
      </c>
      <c r="M388" s="28" t="n">
        <v>5.78</v>
      </c>
      <c r="N388" s="32" t="inlineStr">
        <is>
          <t>常规备选，放在长尾分类；用低价冲量，不单独投流</t>
        </is>
      </c>
    </row>
    <row r="389">
      <c r="A389" s="25" t="n">
        <v>387</v>
      </c>
      <c r="B389" s="25" t="inlineStr">
        <is>
          <t>康佳</t>
        </is>
      </c>
      <c r="C389" s="35" t="inlineStr">
        <is>
          <t>B</t>
        </is>
      </c>
      <c r="D389" s="26" t="inlineStr">
        <is>
          <t>电动剃须刀</t>
        </is>
      </c>
      <c r="E389" s="26" t="inlineStr">
        <is>
          <t>康佳剃须刀</t>
        </is>
      </c>
      <c r="F389" s="26" t="inlineStr">
        <is>
          <t>康佳/三头剃须刀/五代/灰色</t>
        </is>
      </c>
      <c r="G389" s="26" t="inlineStr">
        <is>
          <t>TXD-59</t>
        </is>
      </c>
      <c r="H389" s="29" t="n">
        <v>26</v>
      </c>
      <c r="I389" s="25" t="inlineStr">
        <is>
          <t>¥24–28</t>
        </is>
      </c>
      <c r="J389" s="29" t="n">
        <v>23</v>
      </c>
      <c r="K389" s="29" t="n">
        <v>39</v>
      </c>
      <c r="L389" s="37" t="n">
        <v>4</v>
      </c>
      <c r="M389" s="28" t="n">
        <v>5.78</v>
      </c>
      <c r="N389" s="32" t="inlineStr">
        <is>
          <t>常规备选，放在长尾分类；用低价冲量，不单独投流</t>
        </is>
      </c>
    </row>
    <row r="390">
      <c r="A390" s="25" t="n">
        <v>388</v>
      </c>
      <c r="B390" s="25" t="inlineStr">
        <is>
          <t>康佳</t>
        </is>
      </c>
      <c r="C390" s="35" t="inlineStr">
        <is>
          <t>B</t>
        </is>
      </c>
      <c r="D390" s="26" t="inlineStr">
        <is>
          <t>电动剃须刀</t>
        </is>
      </c>
      <c r="E390" s="26" t="inlineStr">
        <is>
          <t>康佳剃须刀</t>
        </is>
      </c>
      <c r="F390" s="26" t="inlineStr">
        <is>
          <t>康佳/渐变单头剃须刀/黑色</t>
        </is>
      </c>
      <c r="G390" s="26" t="inlineStr">
        <is>
          <t>TXD-60</t>
        </is>
      </c>
      <c r="H390" s="29" t="n">
        <v>26</v>
      </c>
      <c r="I390" s="25" t="inlineStr">
        <is>
          <t>¥24–28</t>
        </is>
      </c>
      <c r="J390" s="29" t="n">
        <v>23</v>
      </c>
      <c r="K390" s="29" t="n">
        <v>39</v>
      </c>
      <c r="L390" s="37" t="n">
        <v>4</v>
      </c>
      <c r="M390" s="28" t="n">
        <v>5.78</v>
      </c>
      <c r="N390" s="32" t="inlineStr">
        <is>
          <t>常规备选，放在长尾分类；用低价冲量，不单独投流</t>
        </is>
      </c>
    </row>
    <row r="391">
      <c r="A391" s="25" t="n">
        <v>389</v>
      </c>
      <c r="B391" s="25" t="inlineStr">
        <is>
          <t>康佳</t>
        </is>
      </c>
      <c r="C391" s="35" t="inlineStr">
        <is>
          <t>B</t>
        </is>
      </c>
      <c r="D391" s="26" t="inlineStr">
        <is>
          <t>电动剃须刀</t>
        </is>
      </c>
      <c r="E391" s="26" t="inlineStr">
        <is>
          <t>康佳剃须刀</t>
        </is>
      </c>
      <c r="F391" s="26" t="inlineStr">
        <is>
          <t>康佳/渐变单头剃须刀/蓝色</t>
        </is>
      </c>
      <c r="G391" s="26" t="inlineStr">
        <is>
          <t>TXD-61</t>
        </is>
      </c>
      <c r="H391" s="29" t="n">
        <v>26</v>
      </c>
      <c r="I391" s="25" t="inlineStr">
        <is>
          <t>¥24–28</t>
        </is>
      </c>
      <c r="J391" s="29" t="n">
        <v>23</v>
      </c>
      <c r="K391" s="29" t="n">
        <v>39</v>
      </c>
      <c r="L391" s="37" t="n">
        <v>4</v>
      </c>
      <c r="M391" s="28" t="n">
        <v>5.78</v>
      </c>
      <c r="N391" s="32" t="inlineStr">
        <is>
          <t>常规备选，放在长尾分类；用低价冲量，不单独投流</t>
        </is>
      </c>
    </row>
    <row r="392">
      <c r="A392" s="25" t="n">
        <v>390</v>
      </c>
      <c r="B392" s="25" t="inlineStr">
        <is>
          <t>美悟</t>
        </is>
      </c>
      <c r="C392" s="35" t="inlineStr">
        <is>
          <t>B</t>
        </is>
      </c>
      <c r="D392" s="26" t="inlineStr">
        <is>
          <t>电动剃须刀</t>
        </is>
      </c>
      <c r="E392" s="26" t="inlineStr">
        <is>
          <t>美悟电动剃须刀</t>
        </is>
      </c>
      <c r="F392" s="26" t="inlineStr">
        <is>
          <t>美悟 双头剃须刀/白色</t>
        </is>
      </c>
      <c r="G392" s="26" t="inlineStr">
        <is>
          <t>TXD-01</t>
        </is>
      </c>
      <c r="H392" s="29" t="n">
        <v>26</v>
      </c>
      <c r="I392" s="25" t="inlineStr">
        <is>
          <t>¥24–28</t>
        </is>
      </c>
      <c r="J392" s="29" t="n">
        <v>23</v>
      </c>
      <c r="K392" s="29" t="n">
        <v>39</v>
      </c>
      <c r="L392" s="37" t="n">
        <v>4</v>
      </c>
      <c r="M392" s="28" t="n">
        <v>5.78</v>
      </c>
      <c r="N392" s="32" t="inlineStr">
        <is>
          <t>常规备选，放在长尾分类；用低价冲量，不单独投流</t>
        </is>
      </c>
    </row>
    <row r="393">
      <c r="A393" s="25" t="n">
        <v>391</v>
      </c>
      <c r="B393" s="25" t="inlineStr">
        <is>
          <t>美悟</t>
        </is>
      </c>
      <c r="C393" s="35" t="inlineStr">
        <is>
          <t>B</t>
        </is>
      </c>
      <c r="D393" s="26" t="inlineStr">
        <is>
          <t>电动剃须刀</t>
        </is>
      </c>
      <c r="E393" s="26" t="inlineStr">
        <is>
          <t>美悟电动剃须刀</t>
        </is>
      </c>
      <c r="F393" s="26" t="inlineStr">
        <is>
          <t>美悟 双头剃须刀/ 黑色</t>
        </is>
      </c>
      <c r="G393" s="26" t="inlineStr">
        <is>
          <t>TXD-02</t>
        </is>
      </c>
      <c r="H393" s="29" t="n">
        <v>26</v>
      </c>
      <c r="I393" s="25" t="inlineStr">
        <is>
          <t>¥24–28</t>
        </is>
      </c>
      <c r="J393" s="29" t="n">
        <v>23</v>
      </c>
      <c r="K393" s="29" t="n">
        <v>39</v>
      </c>
      <c r="L393" s="37" t="n">
        <v>4</v>
      </c>
      <c r="M393" s="28" t="n">
        <v>5.78</v>
      </c>
      <c r="N393" s="32" t="inlineStr">
        <is>
          <t>常规备选，放在长尾分类；用低价冲量，不单独投流</t>
        </is>
      </c>
    </row>
    <row r="394">
      <c r="A394" s="25" t="n">
        <v>392</v>
      </c>
      <c r="B394" s="25" t="inlineStr">
        <is>
          <t>通货</t>
        </is>
      </c>
      <c r="C394" s="35" t="inlineStr">
        <is>
          <t>B</t>
        </is>
      </c>
      <c r="D394" s="26" t="inlineStr">
        <is>
          <t>电动剃须刀</t>
        </is>
      </c>
      <c r="E394" s="26" t="inlineStr">
        <is>
          <t>贴纸</t>
        </is>
      </c>
      <c r="F394" s="26" t="inlineStr">
        <is>
          <t>贴纸/星空</t>
        </is>
      </c>
      <c r="G394" s="26" t="inlineStr">
        <is>
          <t>TZ-01</t>
        </is>
      </c>
      <c r="H394" s="29" t="n">
        <v>26</v>
      </c>
      <c r="I394" s="25" t="inlineStr">
        <is>
          <t>¥24–28</t>
        </is>
      </c>
      <c r="J394" s="29" t="n">
        <v>23</v>
      </c>
      <c r="K394" s="29" t="n">
        <v>39</v>
      </c>
      <c r="L394" s="37" t="n">
        <v>4</v>
      </c>
      <c r="M394" s="28" t="n">
        <v>5.78</v>
      </c>
      <c r="N394" s="32" t="inlineStr">
        <is>
          <t>常规备选，放在长尾分类；用低价冲量，不单独投流</t>
        </is>
      </c>
    </row>
    <row r="395">
      <c r="A395" s="25" t="n">
        <v>393</v>
      </c>
      <c r="B395" s="25" t="inlineStr">
        <is>
          <t>通货</t>
        </is>
      </c>
      <c r="C395" s="35" t="inlineStr">
        <is>
          <t>B</t>
        </is>
      </c>
      <c r="D395" s="26" t="inlineStr">
        <is>
          <t>电动剃须刀</t>
        </is>
      </c>
      <c r="E395" s="26" t="inlineStr">
        <is>
          <t>贴纸</t>
        </is>
      </c>
      <c r="F395" s="26" t="inlineStr">
        <is>
          <t>贴纸/兔子</t>
        </is>
      </c>
      <c r="G395" s="26" t="inlineStr">
        <is>
          <t>TZ-02</t>
        </is>
      </c>
      <c r="H395" s="29" t="n">
        <v>26</v>
      </c>
      <c r="I395" s="25" t="inlineStr">
        <is>
          <t>¥24–28</t>
        </is>
      </c>
      <c r="J395" s="29" t="n">
        <v>23</v>
      </c>
      <c r="K395" s="29" t="n">
        <v>39</v>
      </c>
      <c r="L395" s="37" t="n">
        <v>4</v>
      </c>
      <c r="M395" s="28" t="n">
        <v>5.78</v>
      </c>
      <c r="N395" s="32" t="inlineStr">
        <is>
          <t>常规备选，放在长尾分类；用低价冲量，不单独投流</t>
        </is>
      </c>
    </row>
    <row r="396">
      <c r="A396" s="25" t="n">
        <v>394</v>
      </c>
      <c r="B396" s="25" t="inlineStr">
        <is>
          <t>通货</t>
        </is>
      </c>
      <c r="C396" s="35" t="inlineStr">
        <is>
          <t>B</t>
        </is>
      </c>
      <c r="D396" s="26" t="inlineStr">
        <is>
          <t>电动剃须刀</t>
        </is>
      </c>
      <c r="E396" s="26" t="inlineStr">
        <is>
          <t>剃须泡沫</t>
        </is>
      </c>
      <c r="F396" s="26" t="inlineStr">
        <is>
          <t>吉耐利/剃须泡沫</t>
        </is>
      </c>
      <c r="G396" s="26" t="inlineStr">
        <is>
          <t>TXPM-01</t>
        </is>
      </c>
      <c r="H396" s="29" t="n">
        <v>26</v>
      </c>
      <c r="I396" s="25" t="inlineStr">
        <is>
          <t>¥24–28</t>
        </is>
      </c>
      <c r="J396" s="29" t="n">
        <v>23</v>
      </c>
      <c r="K396" s="29" t="n">
        <v>39</v>
      </c>
      <c r="L396" s="37" t="n">
        <v>4</v>
      </c>
      <c r="M396" s="28" t="n">
        <v>5.78</v>
      </c>
      <c r="N396" s="32" t="inlineStr">
        <is>
          <t>常规备选，放在长尾分类；用低价冲量，不单独投流</t>
        </is>
      </c>
    </row>
    <row r="397">
      <c r="A397" s="25" t="n">
        <v>395</v>
      </c>
      <c r="B397" s="25" t="inlineStr">
        <is>
          <t>夏新</t>
        </is>
      </c>
      <c r="C397" s="35" t="inlineStr">
        <is>
          <t>B</t>
        </is>
      </c>
      <c r="D397" s="26" t="inlineStr">
        <is>
          <t>电动剃须刀</t>
        </is>
      </c>
      <c r="E397" s="26" t="inlineStr">
        <is>
          <t>迷你电动剃须刀</t>
        </is>
      </c>
      <c r="F397" s="26" t="inlineStr">
        <is>
          <t>夏新/锋影双头剃须刀/黑</t>
        </is>
      </c>
      <c r="G397" s="26" t="inlineStr">
        <is>
          <t>TXD-75</t>
        </is>
      </c>
      <c r="H397" s="29" t="n">
        <v>26</v>
      </c>
      <c r="I397" s="25" t="inlineStr">
        <is>
          <t>¥24–28</t>
        </is>
      </c>
      <c r="J397" s="29" t="n">
        <v>23</v>
      </c>
      <c r="K397" s="29" t="n">
        <v>39</v>
      </c>
      <c r="L397" s="37" t="n">
        <v>4</v>
      </c>
      <c r="M397" s="28" t="n">
        <v>5.78</v>
      </c>
      <c r="N397" s="32" t="inlineStr">
        <is>
          <t>常规备选，放在长尾分类；用低价冲量，不单独投流</t>
        </is>
      </c>
    </row>
    <row r="398">
      <c r="A398" s="25" t="n">
        <v>396</v>
      </c>
      <c r="B398" s="25" t="inlineStr">
        <is>
          <t>夏新</t>
        </is>
      </c>
      <c r="C398" s="35" t="inlineStr">
        <is>
          <t>B</t>
        </is>
      </c>
      <c r="D398" s="26" t="inlineStr">
        <is>
          <t>电动剃须刀</t>
        </is>
      </c>
      <c r="E398" s="26" t="inlineStr">
        <is>
          <t>迷你电动剃须刀</t>
        </is>
      </c>
      <c r="F398" s="26" t="inlineStr">
        <is>
          <t>夏新/锋影双头剃须刀/白</t>
        </is>
      </c>
      <c r="G398" s="26" t="inlineStr">
        <is>
          <t>TXD-74</t>
        </is>
      </c>
      <c r="H398" s="29" t="n">
        <v>26</v>
      </c>
      <c r="I398" s="25" t="inlineStr">
        <is>
          <t>¥24–28</t>
        </is>
      </c>
      <c r="J398" s="29" t="n">
        <v>23</v>
      </c>
      <c r="K398" s="29" t="n">
        <v>39</v>
      </c>
      <c r="L398" s="37" t="n">
        <v>4</v>
      </c>
      <c r="M398" s="28" t="n">
        <v>5.78</v>
      </c>
      <c r="N398" s="32" t="inlineStr">
        <is>
          <t>常规备选，放在长尾分类；用低价冲量，不单独投流</t>
        </is>
      </c>
    </row>
    <row r="399">
      <c r="A399" s="25" t="n">
        <v>397</v>
      </c>
      <c r="B399" s="25" t="inlineStr">
        <is>
          <t>夏新</t>
        </is>
      </c>
      <c r="C399" s="35" t="inlineStr">
        <is>
          <t>B</t>
        </is>
      </c>
      <c r="D399" s="26" t="inlineStr">
        <is>
          <t>电动剃须刀</t>
        </is>
      </c>
      <c r="E399" s="26" t="inlineStr">
        <is>
          <t>电动剃须刀</t>
        </is>
      </c>
      <c r="F399" s="26" t="inlineStr">
        <is>
          <t>夏新/多功能剃须刀/蓝灰色/YC-808</t>
        </is>
      </c>
      <c r="G399" s="26" t="inlineStr">
        <is>
          <t>TXD-112</t>
        </is>
      </c>
      <c r="H399" s="29" t="n">
        <v>26</v>
      </c>
      <c r="I399" s="25" t="inlineStr">
        <is>
          <t>¥24–28</t>
        </is>
      </c>
      <c r="J399" s="29" t="n">
        <v>23</v>
      </c>
      <c r="K399" s="29" t="n">
        <v>39</v>
      </c>
      <c r="L399" s="37" t="n">
        <v>4</v>
      </c>
      <c r="M399" s="28" t="n">
        <v>5.78</v>
      </c>
      <c r="N399" s="32" t="inlineStr">
        <is>
          <t>常规备选，放在长尾分类；用低价冲量，不单独投流</t>
        </is>
      </c>
    </row>
    <row r="400">
      <c r="A400" s="25" t="n">
        <v>398</v>
      </c>
      <c r="B400" s="25" t="inlineStr">
        <is>
          <t>夏新</t>
        </is>
      </c>
      <c r="C400" s="35" t="inlineStr">
        <is>
          <t>B</t>
        </is>
      </c>
      <c r="D400" s="26" t="inlineStr">
        <is>
          <t>电动剃须刀</t>
        </is>
      </c>
      <c r="E400" s="26" t="inlineStr">
        <is>
          <t>电动剃须刀</t>
        </is>
      </c>
      <c r="F400" s="26" t="inlineStr">
        <is>
          <t>夏新/多功能剃须刀/黑色/YC-808</t>
        </is>
      </c>
      <c r="G400" s="26" t="inlineStr">
        <is>
          <t>TXD-111</t>
        </is>
      </c>
      <c r="H400" s="29" t="n">
        <v>26</v>
      </c>
      <c r="I400" s="25" t="inlineStr">
        <is>
          <t>¥24–28</t>
        </is>
      </c>
      <c r="J400" s="29" t="n">
        <v>23</v>
      </c>
      <c r="K400" s="29" t="n">
        <v>39</v>
      </c>
      <c r="L400" s="37" t="n">
        <v>4</v>
      </c>
      <c r="M400" s="28" t="n">
        <v>5.78</v>
      </c>
      <c r="N400" s="32" t="inlineStr">
        <is>
          <t>常规备选，放在长尾分类；用低价冲量，不单独投流</t>
        </is>
      </c>
    </row>
    <row r="401">
      <c r="A401" s="25" t="n">
        <v>399</v>
      </c>
      <c r="B401" s="25" t="inlineStr">
        <is>
          <t>mericle</t>
        </is>
      </c>
      <c r="C401" s="35" t="inlineStr">
        <is>
          <t>B</t>
        </is>
      </c>
      <c r="D401" s="26" t="inlineStr">
        <is>
          <t>冰点脱毛仪</t>
        </is>
      </c>
      <c r="E401" s="26" t="inlineStr">
        <is>
          <t>美丽寇脱毛仪</t>
        </is>
      </c>
      <c r="F401" s="26" t="inlineStr">
        <is>
          <t>Mericle/激光TMQ/浅绿色</t>
        </is>
      </c>
      <c r="G401" s="26" t="inlineStr">
        <is>
          <t>Mericle-jgtmq-qls</t>
        </is>
      </c>
      <c r="H401" s="29" t="n">
        <v>12</v>
      </c>
      <c r="I401" s="25" t="inlineStr">
        <is>
          <t>¥3–22</t>
        </is>
      </c>
      <c r="J401" s="29" t="n">
        <v>3</v>
      </c>
      <c r="K401" s="29" t="n">
        <v>29</v>
      </c>
      <c r="L401" s="37" t="n">
        <v>26</v>
      </c>
      <c r="M401" s="28" t="n">
        <v>5.76</v>
      </c>
      <c r="N401" s="32" t="inlineStr">
        <is>
          <t>常规备选，放在长尾分类；用低价冲量，不单独投流</t>
        </is>
      </c>
    </row>
    <row r="402">
      <c r="A402" s="25" t="n">
        <v>400</v>
      </c>
      <c r="B402" s="25" t="inlineStr">
        <is>
          <t>mericle</t>
        </is>
      </c>
      <c r="C402" s="35" t="inlineStr">
        <is>
          <t>B</t>
        </is>
      </c>
      <c r="D402" s="26" t="inlineStr">
        <is>
          <t>冰点脱毛仪</t>
        </is>
      </c>
      <c r="E402" s="26" t="inlineStr">
        <is>
          <t>美悟脱毛仪</t>
        </is>
      </c>
      <c r="F402" s="26" t="inlineStr">
        <is>
          <t>Mericle-冰点TMY-绿色</t>
        </is>
      </c>
      <c r="G402" s="26" t="inlineStr">
        <is>
          <t>Mericle-BDTMY-L</t>
        </is>
      </c>
      <c r="H402" s="29" t="n">
        <v>12</v>
      </c>
      <c r="I402" s="25" t="inlineStr">
        <is>
          <t>¥3–22</t>
        </is>
      </c>
      <c r="J402" s="29" t="n">
        <v>3</v>
      </c>
      <c r="K402" s="29" t="n">
        <v>29</v>
      </c>
      <c r="L402" s="37" t="n">
        <v>26</v>
      </c>
      <c r="M402" s="28" t="n">
        <v>5.76</v>
      </c>
      <c r="N402" s="32" t="inlineStr">
        <is>
          <t>常规备选，放在长尾分类；用低价冲量，不单独投流</t>
        </is>
      </c>
    </row>
    <row r="403">
      <c r="A403" s="25" t="n">
        <v>401</v>
      </c>
      <c r="B403" s="25" t="inlineStr">
        <is>
          <t>美悟</t>
        </is>
      </c>
      <c r="C403" s="35" t="inlineStr">
        <is>
          <t>B</t>
        </is>
      </c>
      <c r="D403" s="26" t="inlineStr">
        <is>
          <t>按摩枕</t>
        </is>
      </c>
      <c r="E403" s="26" t="inlineStr">
        <is>
          <t>美悟/U型按摩枕</t>
        </is>
      </c>
      <c r="F403" s="26" t="inlineStr">
        <is>
          <t>美悟/U型按摩枕/四键款</t>
        </is>
      </c>
      <c r="G403" s="26" t="inlineStr">
        <is>
          <t>AMZ-01</t>
        </is>
      </c>
      <c r="H403" s="29" t="n">
        <v>22</v>
      </c>
      <c r="I403" s="25" t="inlineStr">
        <is>
          <t>¥17–26</t>
        </is>
      </c>
      <c r="J403" s="29" t="n">
        <v>16</v>
      </c>
      <c r="K403" s="29" t="n">
        <v>50</v>
      </c>
      <c r="L403" s="37" t="n">
        <v>2</v>
      </c>
      <c r="M403" s="28" t="n">
        <v>5.74</v>
      </c>
      <c r="N403" s="32" t="inlineStr">
        <is>
          <t>常规备选，放在长尾分类；用低价冲量，不单独投流</t>
        </is>
      </c>
    </row>
    <row r="404">
      <c r="A404" s="25" t="n">
        <v>402</v>
      </c>
      <c r="B404" s="25" t="inlineStr">
        <is>
          <t>通货</t>
        </is>
      </c>
      <c r="C404" s="35" t="inlineStr">
        <is>
          <t>B</t>
        </is>
      </c>
      <c r="D404" s="26" t="inlineStr">
        <is>
          <t>按摩枕</t>
        </is>
      </c>
      <c r="E404" s="26" t="inlineStr">
        <is>
          <t>多功能按摩枕</t>
        </is>
      </c>
      <c r="F404" s="26" t="inlineStr">
        <is>
          <t>多功能按摩枕/红色</t>
        </is>
      </c>
      <c r="G404" s="26" t="inlineStr">
        <is>
          <t>AMZ-02</t>
        </is>
      </c>
      <c r="H404" s="29" t="n">
        <v>22</v>
      </c>
      <c r="I404" s="25" t="inlineStr">
        <is>
          <t>¥17–26</t>
        </is>
      </c>
      <c r="J404" s="29" t="n">
        <v>16</v>
      </c>
      <c r="K404" s="29" t="n">
        <v>50</v>
      </c>
      <c r="L404" s="37" t="n">
        <v>2</v>
      </c>
      <c r="M404" s="28" t="n">
        <v>5.74</v>
      </c>
      <c r="N404" s="32" t="inlineStr">
        <is>
          <t>常规备选，放在长尾分类；用低价冲量，不单独投流</t>
        </is>
      </c>
    </row>
    <row r="405">
      <c r="A405" s="25" t="n">
        <v>403</v>
      </c>
      <c r="B405" s="25" t="inlineStr">
        <is>
          <t>通货</t>
        </is>
      </c>
      <c r="C405" s="35" t="inlineStr">
        <is>
          <t>B</t>
        </is>
      </c>
      <c r="D405" s="26" t="inlineStr">
        <is>
          <t>每日悬灸</t>
        </is>
      </c>
      <c r="E405" s="26" t="inlineStr">
        <is>
          <t>每日悬灸</t>
        </is>
      </c>
      <c r="F405" s="26" t="inlineStr">
        <is>
          <t>绿莹/每日悬灸</t>
        </is>
      </c>
      <c r="G405" s="26" t="inlineStr">
        <is>
          <t>XXJ-01</t>
        </is>
      </c>
      <c r="H405" s="29" t="n">
        <v>12</v>
      </c>
      <c r="I405" s="25" t="inlineStr">
        <is>
          <t>¥9–15</t>
        </is>
      </c>
      <c r="J405" s="29" t="n">
        <v>9</v>
      </c>
      <c r="K405" s="29" t="n">
        <v>19</v>
      </c>
      <c r="L405" s="37" t="n">
        <v>16</v>
      </c>
      <c r="M405" s="28" t="n">
        <v>5.63</v>
      </c>
      <c r="N405" s="32" t="inlineStr">
        <is>
          <t>常规备选，放在长尾分类；用低价冲量，不单独投流</t>
        </is>
      </c>
    </row>
    <row r="406">
      <c r="A406" s="25" t="n">
        <v>404</v>
      </c>
      <c r="B406" s="25" t="inlineStr">
        <is>
          <t>通货</t>
        </is>
      </c>
      <c r="C406" s="35" t="inlineStr">
        <is>
          <t>B</t>
        </is>
      </c>
      <c r="D406" s="26" t="inlineStr">
        <is>
          <t>驱蚊手环</t>
        </is>
      </c>
      <c r="E406" s="26" t="inlineStr">
        <is>
          <t>素色金属驱蚊手环</t>
        </is>
      </c>
      <c r="F406" s="26" t="inlineStr">
        <is>
          <t>驱蚊手环/米色/HS-Q007</t>
        </is>
      </c>
      <c r="G406" s="26" t="inlineStr">
        <is>
          <t>QWSH-01</t>
        </is>
      </c>
      <c r="H406" s="29" t="n">
        <v>10</v>
      </c>
      <c r="I406" s="25" t="inlineStr">
        <is>
          <t>¥9–10</t>
        </is>
      </c>
      <c r="J406" s="29" t="n">
        <v>9</v>
      </c>
      <c r="K406" s="29" t="n">
        <v>17</v>
      </c>
      <c r="L406" s="37" t="n">
        <v>6</v>
      </c>
      <c r="M406" s="28" t="n">
        <v>5.6</v>
      </c>
      <c r="N406" s="32" t="inlineStr">
        <is>
          <t>常规备选，放在长尾分类；用低价冲量，不单独投流</t>
        </is>
      </c>
    </row>
    <row r="407">
      <c r="A407" s="25" t="n">
        <v>405</v>
      </c>
      <c r="B407" s="25" t="inlineStr">
        <is>
          <t>通货</t>
        </is>
      </c>
      <c r="C407" s="35" t="inlineStr">
        <is>
          <t>B</t>
        </is>
      </c>
      <c r="D407" s="26" t="inlineStr">
        <is>
          <t>驱蚊手环</t>
        </is>
      </c>
      <c r="E407" s="26" t="inlineStr">
        <is>
          <t>素色金属驱蚊手环</t>
        </is>
      </c>
      <c r="F407" s="26" t="inlineStr">
        <is>
          <t>驱蚊手环/绿色/HS-Q007</t>
        </is>
      </c>
      <c r="G407" s="26" t="inlineStr">
        <is>
          <t>QWSH-02</t>
        </is>
      </c>
      <c r="H407" s="29" t="n">
        <v>10</v>
      </c>
      <c r="I407" s="25" t="inlineStr">
        <is>
          <t>¥9–10</t>
        </is>
      </c>
      <c r="J407" s="29" t="n">
        <v>9</v>
      </c>
      <c r="K407" s="29" t="n">
        <v>17</v>
      </c>
      <c r="L407" s="37" t="n">
        <v>6</v>
      </c>
      <c r="M407" s="28" t="n">
        <v>5.6</v>
      </c>
      <c r="N407" s="32" t="inlineStr">
        <is>
          <t>常规备选，放在长尾分类；用低价冲量，不单独投流</t>
        </is>
      </c>
    </row>
    <row r="408">
      <c r="A408" s="25" t="n">
        <v>406</v>
      </c>
      <c r="B408" s="25" t="inlineStr">
        <is>
          <t>mericle</t>
        </is>
      </c>
      <c r="C408" s="35" t="inlineStr">
        <is>
          <t>B</t>
        </is>
      </c>
      <c r="D408" s="26" t="inlineStr">
        <is>
          <t>理发器</t>
        </is>
      </c>
      <c r="E408" s="26" t="inlineStr">
        <is>
          <t>理发器</t>
        </is>
      </c>
      <c r="F408" s="26" t="inlineStr">
        <is>
          <t>Mericle/婴儿理发器/蓝色/KLFQ-1331-T</t>
        </is>
      </c>
      <c r="G408" s="26" t="inlineStr">
        <is>
          <t>LFQ-29</t>
        </is>
      </c>
      <c r="H408" s="29" t="n">
        <v>22</v>
      </c>
      <c r="I408" s="25" t="inlineStr">
        <is>
          <t>¥19–25</t>
        </is>
      </c>
      <c r="J408" s="29" t="n">
        <v>18</v>
      </c>
      <c r="K408" s="29" t="n">
        <v>38</v>
      </c>
      <c r="L408" s="37" t="n">
        <v>4</v>
      </c>
      <c r="M408" s="28" t="n">
        <v>5.59</v>
      </c>
      <c r="N408" s="32" t="inlineStr">
        <is>
          <t>常规备选，放在长尾分类；用低价冲量，不单独投流</t>
        </is>
      </c>
    </row>
    <row r="409">
      <c r="A409" s="25" t="n">
        <v>407</v>
      </c>
      <c r="B409" s="25" t="inlineStr">
        <is>
          <t>mericle</t>
        </is>
      </c>
      <c r="C409" s="35" t="inlineStr">
        <is>
          <t>B</t>
        </is>
      </c>
      <c r="D409" s="26" t="inlineStr">
        <is>
          <t>理发器</t>
        </is>
      </c>
      <c r="E409" s="26" t="inlineStr">
        <is>
          <t>理发器</t>
        </is>
      </c>
      <c r="F409" s="26" t="inlineStr">
        <is>
          <t>Mericle/婴儿理发器/黄色/KLFQ-1331-T</t>
        </is>
      </c>
      <c r="G409" s="26" t="inlineStr">
        <is>
          <t>LFQ-30</t>
        </is>
      </c>
      <c r="H409" s="29" t="n">
        <v>22</v>
      </c>
      <c r="I409" s="25" t="inlineStr">
        <is>
          <t>¥19–25</t>
        </is>
      </c>
      <c r="J409" s="29" t="n">
        <v>18</v>
      </c>
      <c r="K409" s="29" t="n">
        <v>38</v>
      </c>
      <c r="L409" s="37" t="n">
        <v>4</v>
      </c>
      <c r="M409" s="28" t="n">
        <v>5.59</v>
      </c>
      <c r="N409" s="32" t="inlineStr">
        <is>
          <t>常规备选，放在长尾分类；用低价冲量，不单独投流</t>
        </is>
      </c>
    </row>
    <row r="410">
      <c r="A410" s="25" t="n">
        <v>408</v>
      </c>
      <c r="B410" s="25" t="inlineStr">
        <is>
          <t>mericle</t>
        </is>
      </c>
      <c r="C410" s="35" t="inlineStr">
        <is>
          <t>B</t>
        </is>
      </c>
      <c r="D410" s="26" t="inlineStr">
        <is>
          <t>理发器</t>
        </is>
      </c>
      <c r="E410" s="26" t="inlineStr">
        <is>
          <t>理发器</t>
        </is>
      </c>
      <c r="F410" s="26" t="inlineStr">
        <is>
          <t>Mericle/数显理发器/银色/KLFO-0823-T</t>
        </is>
      </c>
      <c r="G410" s="26" t="inlineStr">
        <is>
          <t>LFQ-31</t>
        </is>
      </c>
      <c r="H410" s="29" t="n">
        <v>22</v>
      </c>
      <c r="I410" s="25" t="inlineStr">
        <is>
          <t>¥19–25</t>
        </is>
      </c>
      <c r="J410" s="29" t="n">
        <v>18</v>
      </c>
      <c r="K410" s="29" t="n">
        <v>38</v>
      </c>
      <c r="L410" s="37" t="n">
        <v>4</v>
      </c>
      <c r="M410" s="28" t="n">
        <v>5.59</v>
      </c>
      <c r="N410" s="32" t="inlineStr">
        <is>
          <t>常规备选，放在长尾分类；用低价冲量，不单独投流</t>
        </is>
      </c>
    </row>
    <row r="411">
      <c r="A411" s="25" t="n">
        <v>409</v>
      </c>
      <c r="B411" s="25" t="inlineStr">
        <is>
          <t>康佳</t>
        </is>
      </c>
      <c r="C411" s="35" t="inlineStr">
        <is>
          <t>B</t>
        </is>
      </c>
      <c r="D411" s="26" t="inlineStr">
        <is>
          <t>理发器</t>
        </is>
      </c>
      <c r="E411" s="26" t="inlineStr">
        <is>
          <t>康佳理发器</t>
        </is>
      </c>
      <c r="F411" s="26" t="inlineStr">
        <is>
          <t>康佳成人理发器/白色</t>
        </is>
      </c>
      <c r="G411" s="26" t="inlineStr">
        <is>
          <t>LFQ-04</t>
        </is>
      </c>
      <c r="H411" s="29" t="n">
        <v>22</v>
      </c>
      <c r="I411" s="25" t="inlineStr">
        <is>
          <t>¥19–25</t>
        </is>
      </c>
      <c r="J411" s="29" t="n">
        <v>18</v>
      </c>
      <c r="K411" s="29" t="n">
        <v>38</v>
      </c>
      <c r="L411" s="37" t="n">
        <v>4</v>
      </c>
      <c r="M411" s="28" t="n">
        <v>5.59</v>
      </c>
      <c r="N411" s="32" t="inlineStr">
        <is>
          <t>常规备选，放在长尾分类；用低价冲量，不单独投流</t>
        </is>
      </c>
    </row>
    <row r="412">
      <c r="A412" s="25" t="n">
        <v>410</v>
      </c>
      <c r="B412" s="25" t="inlineStr">
        <is>
          <t>康佳</t>
        </is>
      </c>
      <c r="C412" s="35" t="inlineStr">
        <is>
          <t>B</t>
        </is>
      </c>
      <c r="D412" s="26" t="inlineStr">
        <is>
          <t>理发器</t>
        </is>
      </c>
      <c r="E412" s="26" t="inlineStr">
        <is>
          <t>康佳理发器</t>
        </is>
      </c>
      <c r="F412" s="26" t="inlineStr">
        <is>
          <t>康佳成人理发器/黑色</t>
        </is>
      </c>
      <c r="G412" s="26" t="inlineStr">
        <is>
          <t>LFQ-05</t>
        </is>
      </c>
      <c r="H412" s="29" t="n">
        <v>22</v>
      </c>
      <c r="I412" s="25" t="inlineStr">
        <is>
          <t>¥19–25</t>
        </is>
      </c>
      <c r="J412" s="29" t="n">
        <v>18</v>
      </c>
      <c r="K412" s="29" t="n">
        <v>38</v>
      </c>
      <c r="L412" s="37" t="n">
        <v>4</v>
      </c>
      <c r="M412" s="28" t="n">
        <v>5.59</v>
      </c>
      <c r="N412" s="32" t="inlineStr">
        <is>
          <t>常规备选，放在长尾分类；用低价冲量，不单独投流</t>
        </is>
      </c>
    </row>
    <row r="413">
      <c r="A413" s="25" t="n">
        <v>411</v>
      </c>
      <c r="B413" s="25" t="inlineStr">
        <is>
          <t>康佳</t>
        </is>
      </c>
      <c r="C413" s="35" t="inlineStr">
        <is>
          <t>B</t>
        </is>
      </c>
      <c r="D413" s="26" t="inlineStr">
        <is>
          <t>理发器</t>
        </is>
      </c>
      <c r="E413" s="26" t="inlineStr">
        <is>
          <t>康佳理发器</t>
        </is>
      </c>
      <c r="F413" s="26" t="inlineStr">
        <is>
          <t>康佳油头理发器/蓝色</t>
        </is>
      </c>
      <c r="G413" s="26" t="inlineStr">
        <is>
          <t>LFQ-10</t>
        </is>
      </c>
      <c r="H413" s="29" t="n">
        <v>22</v>
      </c>
      <c r="I413" s="25" t="inlineStr">
        <is>
          <t>¥19–25</t>
        </is>
      </c>
      <c r="J413" s="29" t="n">
        <v>18</v>
      </c>
      <c r="K413" s="29" t="n">
        <v>38</v>
      </c>
      <c r="L413" s="37" t="n">
        <v>4</v>
      </c>
      <c r="M413" s="28" t="n">
        <v>5.59</v>
      </c>
      <c r="N413" s="32" t="inlineStr">
        <is>
          <t>常规备选，放在长尾分类；用低价冲量，不单独投流</t>
        </is>
      </c>
    </row>
    <row r="414">
      <c r="A414" s="25" t="n">
        <v>412</v>
      </c>
      <c r="B414" s="25" t="inlineStr">
        <is>
          <t>康佳</t>
        </is>
      </c>
      <c r="C414" s="35" t="inlineStr">
        <is>
          <t>B</t>
        </is>
      </c>
      <c r="D414" s="26" t="inlineStr">
        <is>
          <t>理发器</t>
        </is>
      </c>
      <c r="E414" s="26" t="inlineStr">
        <is>
          <t>康佳理发器</t>
        </is>
      </c>
      <c r="F414" s="26" t="inlineStr">
        <is>
          <t>康佳油头理发器/黑色</t>
        </is>
      </c>
      <c r="G414" s="26" t="inlineStr">
        <is>
          <t>LFQ-11</t>
        </is>
      </c>
      <c r="H414" s="29" t="n">
        <v>22</v>
      </c>
      <c r="I414" s="25" t="inlineStr">
        <is>
          <t>¥19–25</t>
        </is>
      </c>
      <c r="J414" s="29" t="n">
        <v>18</v>
      </c>
      <c r="K414" s="29" t="n">
        <v>38</v>
      </c>
      <c r="L414" s="37" t="n">
        <v>4</v>
      </c>
      <c r="M414" s="28" t="n">
        <v>5.59</v>
      </c>
      <c r="N414" s="32" t="inlineStr">
        <is>
          <t>常规备选，放在长尾分类；用低价冲量，不单独投流</t>
        </is>
      </c>
    </row>
    <row r="415">
      <c r="A415" s="25" t="n">
        <v>413</v>
      </c>
      <c r="B415" s="25" t="inlineStr">
        <is>
          <t>康佳</t>
        </is>
      </c>
      <c r="C415" s="35" t="inlineStr">
        <is>
          <t>B</t>
        </is>
      </c>
      <c r="D415" s="26" t="inlineStr">
        <is>
          <t>理发器</t>
        </is>
      </c>
      <c r="E415" s="26" t="inlineStr">
        <is>
          <t>康佳婴儿理发器</t>
        </is>
      </c>
      <c r="F415" s="26" t="inlineStr">
        <is>
          <t>康佳婴儿理发器/黄色</t>
        </is>
      </c>
      <c r="G415" s="26" t="inlineStr">
        <is>
          <t>LFQ-07</t>
        </is>
      </c>
      <c r="H415" s="29" t="n">
        <v>22</v>
      </c>
      <c r="I415" s="25" t="inlineStr">
        <is>
          <t>¥19–25</t>
        </is>
      </c>
      <c r="J415" s="29" t="n">
        <v>18</v>
      </c>
      <c r="K415" s="29" t="n">
        <v>38</v>
      </c>
      <c r="L415" s="37" t="n">
        <v>4</v>
      </c>
      <c r="M415" s="28" t="n">
        <v>5.59</v>
      </c>
      <c r="N415" s="32" t="inlineStr">
        <is>
          <t>常规备选，放在长尾分类；用低价冲量，不单独投流</t>
        </is>
      </c>
    </row>
    <row r="416">
      <c r="A416" s="25" t="n">
        <v>414</v>
      </c>
      <c r="B416" s="25" t="inlineStr">
        <is>
          <t>康佳</t>
        </is>
      </c>
      <c r="C416" s="35" t="inlineStr">
        <is>
          <t>B</t>
        </is>
      </c>
      <c r="D416" s="26" t="inlineStr">
        <is>
          <t>理发器</t>
        </is>
      </c>
      <c r="E416" s="26" t="inlineStr">
        <is>
          <t>康佳婴儿理发器</t>
        </is>
      </c>
      <c r="F416" s="26" t="inlineStr">
        <is>
          <t>康佳婴儿理发器/蓝色</t>
        </is>
      </c>
      <c r="G416" s="26" t="inlineStr">
        <is>
          <t>LFQ-06</t>
        </is>
      </c>
      <c r="H416" s="29" t="n">
        <v>22</v>
      </c>
      <c r="I416" s="25" t="inlineStr">
        <is>
          <t>¥19–25</t>
        </is>
      </c>
      <c r="J416" s="29" t="n">
        <v>18</v>
      </c>
      <c r="K416" s="29" t="n">
        <v>38</v>
      </c>
      <c r="L416" s="37" t="n">
        <v>4</v>
      </c>
      <c r="M416" s="28" t="n">
        <v>5.59</v>
      </c>
      <c r="N416" s="32" t="inlineStr">
        <is>
          <t>常规备选，放在长尾分类；用低价冲量，不单独投流</t>
        </is>
      </c>
    </row>
    <row r="417">
      <c r="A417" s="25" t="n">
        <v>415</v>
      </c>
      <c r="B417" s="25" t="inlineStr">
        <is>
          <t>康佳</t>
        </is>
      </c>
      <c r="C417" s="35" t="inlineStr">
        <is>
          <t>B</t>
        </is>
      </c>
      <c r="D417" s="26" t="inlineStr">
        <is>
          <t>理发器</t>
        </is>
      </c>
      <c r="E417" s="26" t="inlineStr">
        <is>
          <t>理发器</t>
        </is>
      </c>
      <c r="F417" s="26" t="inlineStr">
        <is>
          <t>康佳/二代油头理发器/白色</t>
        </is>
      </c>
      <c r="G417" s="26" t="inlineStr">
        <is>
          <t>LFQ-12</t>
        </is>
      </c>
      <c r="H417" s="29" t="n">
        <v>22</v>
      </c>
      <c r="I417" s="25" t="inlineStr">
        <is>
          <t>¥19–25</t>
        </is>
      </c>
      <c r="J417" s="29" t="n">
        <v>18</v>
      </c>
      <c r="K417" s="29" t="n">
        <v>38</v>
      </c>
      <c r="L417" s="37" t="n">
        <v>4</v>
      </c>
      <c r="M417" s="28" t="n">
        <v>5.59</v>
      </c>
      <c r="N417" s="32" t="inlineStr">
        <is>
          <t>常规备选，放在长尾分类；用低价冲量，不单独投流</t>
        </is>
      </c>
    </row>
    <row r="418">
      <c r="A418" s="25" t="n">
        <v>416</v>
      </c>
      <c r="B418" s="25" t="inlineStr">
        <is>
          <t>康佳</t>
        </is>
      </c>
      <c r="C418" s="35" t="inlineStr">
        <is>
          <t>B</t>
        </is>
      </c>
      <c r="D418" s="26" t="inlineStr">
        <is>
          <t>理发器</t>
        </is>
      </c>
      <c r="E418" s="26" t="inlineStr">
        <is>
          <t>理发器</t>
        </is>
      </c>
      <c r="F418" s="26" t="inlineStr">
        <is>
          <t>康佳/二代油头理发器/黑色/KLFO-1316-T</t>
        </is>
      </c>
      <c r="G418" s="26" t="inlineStr">
        <is>
          <t>LFQ-13</t>
        </is>
      </c>
      <c r="H418" s="29" t="n">
        <v>22</v>
      </c>
      <c r="I418" s="25" t="inlineStr">
        <is>
          <t>¥19–25</t>
        </is>
      </c>
      <c r="J418" s="29" t="n">
        <v>18</v>
      </c>
      <c r="K418" s="29" t="n">
        <v>38</v>
      </c>
      <c r="L418" s="37" t="n">
        <v>4</v>
      </c>
      <c r="M418" s="28" t="n">
        <v>5.59</v>
      </c>
      <c r="N418" s="32" t="inlineStr">
        <is>
          <t>常规备选，放在长尾分类；用低价冲量，不单独投流</t>
        </is>
      </c>
    </row>
    <row r="419">
      <c r="A419" s="25" t="n">
        <v>417</v>
      </c>
      <c r="B419" s="25" t="inlineStr">
        <is>
          <t>康佳</t>
        </is>
      </c>
      <c r="C419" s="35" t="inlineStr">
        <is>
          <t>B</t>
        </is>
      </c>
      <c r="D419" s="26" t="inlineStr">
        <is>
          <t>理发器</t>
        </is>
      </c>
      <c r="E419" s="26" t="inlineStr">
        <is>
          <t>理发器</t>
        </is>
      </c>
      <c r="F419" s="26" t="inlineStr">
        <is>
          <t>康佳/二代油头理发器/蓝色/KLFO-1316-T</t>
        </is>
      </c>
      <c r="G419" s="26" t="inlineStr">
        <is>
          <t>LFQ-20</t>
        </is>
      </c>
      <c r="H419" s="29" t="n">
        <v>22</v>
      </c>
      <c r="I419" s="25" t="inlineStr">
        <is>
          <t>¥19–25</t>
        </is>
      </c>
      <c r="J419" s="29" t="n">
        <v>18</v>
      </c>
      <c r="K419" s="29" t="n">
        <v>38</v>
      </c>
      <c r="L419" s="37" t="n">
        <v>4</v>
      </c>
      <c r="M419" s="28" t="n">
        <v>5.59</v>
      </c>
      <c r="N419" s="32" t="inlineStr">
        <is>
          <t>常规备选，放在长尾分类；用低价冲量，不单独投流</t>
        </is>
      </c>
    </row>
    <row r="420">
      <c r="A420" s="25" t="n">
        <v>418</v>
      </c>
      <c r="B420" s="25" t="inlineStr">
        <is>
          <t>康佳</t>
        </is>
      </c>
      <c r="C420" s="35" t="inlineStr">
        <is>
          <t>B</t>
        </is>
      </c>
      <c r="D420" s="26" t="inlineStr">
        <is>
          <t>理发器</t>
        </is>
      </c>
      <c r="E420" s="26" t="inlineStr">
        <is>
          <t>理发器</t>
        </is>
      </c>
      <c r="F420" s="26" t="inlineStr">
        <is>
          <t>康佳/三代理发器/黑色</t>
        </is>
      </c>
      <c r="G420" s="26" t="inlineStr">
        <is>
          <t>LFQ-14</t>
        </is>
      </c>
      <c r="H420" s="29" t="n">
        <v>22</v>
      </c>
      <c r="I420" s="25" t="inlineStr">
        <is>
          <t>¥19–25</t>
        </is>
      </c>
      <c r="J420" s="29" t="n">
        <v>18</v>
      </c>
      <c r="K420" s="29" t="n">
        <v>38</v>
      </c>
      <c r="L420" s="37" t="n">
        <v>4</v>
      </c>
      <c r="M420" s="28" t="n">
        <v>5.59</v>
      </c>
      <c r="N420" s="32" t="inlineStr">
        <is>
          <t>常规备选，放在长尾分类；用低价冲量，不单独投流</t>
        </is>
      </c>
    </row>
    <row r="421">
      <c r="A421" s="25" t="n">
        <v>419</v>
      </c>
      <c r="B421" s="25" t="inlineStr">
        <is>
          <t>康佳</t>
        </is>
      </c>
      <c r="C421" s="35" t="inlineStr">
        <is>
          <t>B</t>
        </is>
      </c>
      <c r="D421" s="26" t="inlineStr">
        <is>
          <t>理发器</t>
        </is>
      </c>
      <c r="E421" s="26" t="inlineStr">
        <is>
          <t>理发器</t>
        </is>
      </c>
      <c r="F421" s="26" t="inlineStr">
        <is>
          <t>康佳/三代理发器/灰色</t>
        </is>
      </c>
      <c r="G421" s="26" t="inlineStr">
        <is>
          <t>LFQ-15</t>
        </is>
      </c>
      <c r="H421" s="29" t="n">
        <v>22</v>
      </c>
      <c r="I421" s="25" t="inlineStr">
        <is>
          <t>¥19–25</t>
        </is>
      </c>
      <c r="J421" s="29" t="n">
        <v>18</v>
      </c>
      <c r="K421" s="29" t="n">
        <v>38</v>
      </c>
      <c r="L421" s="37" t="n">
        <v>4</v>
      </c>
      <c r="M421" s="28" t="n">
        <v>5.59</v>
      </c>
      <c r="N421" s="32" t="inlineStr">
        <is>
          <t>常规备选，放在长尾分类；用低价冲量，不单独投流</t>
        </is>
      </c>
    </row>
    <row r="422">
      <c r="A422" s="25" t="n">
        <v>420</v>
      </c>
      <c r="B422" s="25" t="inlineStr">
        <is>
          <t>康佳</t>
        </is>
      </c>
      <c r="C422" s="35" t="inlineStr">
        <is>
          <t>B</t>
        </is>
      </c>
      <c r="D422" s="26" t="inlineStr">
        <is>
          <t>理发器</t>
        </is>
      </c>
      <c r="E422" s="26" t="inlineStr">
        <is>
          <t>理发器</t>
        </is>
      </c>
      <c r="F422" s="26" t="inlineStr">
        <is>
          <t>康佳/数显理发器三代/黑色</t>
        </is>
      </c>
      <c r="G422" s="26" t="inlineStr">
        <is>
          <t>LFQ-16</t>
        </is>
      </c>
      <c r="H422" s="29" t="n">
        <v>22</v>
      </c>
      <c r="I422" s="25" t="inlineStr">
        <is>
          <t>¥19–25</t>
        </is>
      </c>
      <c r="J422" s="29" t="n">
        <v>18</v>
      </c>
      <c r="K422" s="29" t="n">
        <v>38</v>
      </c>
      <c r="L422" s="37" t="n">
        <v>4</v>
      </c>
      <c r="M422" s="28" t="n">
        <v>5.59</v>
      </c>
      <c r="N422" s="32" t="inlineStr">
        <is>
          <t>常规备选，放在长尾分类；用低价冲量，不单独投流</t>
        </is>
      </c>
    </row>
    <row r="423">
      <c r="A423" s="25" t="n">
        <v>421</v>
      </c>
      <c r="B423" s="25" t="inlineStr">
        <is>
          <t>康佳</t>
        </is>
      </c>
      <c r="C423" s="35" t="inlineStr">
        <is>
          <t>B</t>
        </is>
      </c>
      <c r="D423" s="26" t="inlineStr">
        <is>
          <t>理发器</t>
        </is>
      </c>
      <c r="E423" s="26" t="inlineStr">
        <is>
          <t>理发器</t>
        </is>
      </c>
      <c r="F423" s="26" t="inlineStr">
        <is>
          <t>康佳/数显理发器三代/灰色</t>
        </is>
      </c>
      <c r="G423" s="26" t="inlineStr">
        <is>
          <t>LFQ-17</t>
        </is>
      </c>
      <c r="H423" s="29" t="n">
        <v>22</v>
      </c>
      <c r="I423" s="25" t="inlineStr">
        <is>
          <t>¥19–25</t>
        </is>
      </c>
      <c r="J423" s="29" t="n">
        <v>18</v>
      </c>
      <c r="K423" s="29" t="n">
        <v>38</v>
      </c>
      <c r="L423" s="37" t="n">
        <v>4</v>
      </c>
      <c r="M423" s="28" t="n">
        <v>5.59</v>
      </c>
      <c r="N423" s="32" t="inlineStr">
        <is>
          <t>常规备选，放在长尾分类；用低价冲量，不单独投流</t>
        </is>
      </c>
    </row>
    <row r="424">
      <c r="A424" s="25" t="n">
        <v>422</v>
      </c>
      <c r="B424" s="25" t="inlineStr">
        <is>
          <t>康佳</t>
        </is>
      </c>
      <c r="C424" s="35" t="inlineStr">
        <is>
          <t>B</t>
        </is>
      </c>
      <c r="D424" s="26" t="inlineStr">
        <is>
          <t>理发器</t>
        </is>
      </c>
      <c r="E424" s="26" t="inlineStr">
        <is>
          <t>理发器</t>
        </is>
      </c>
      <c r="F424" s="26" t="inlineStr">
        <is>
          <t>康佳/婴儿理发器/黄色/KLFQ-1331-T</t>
        </is>
      </c>
      <c r="G424" s="26" t="inlineStr">
        <is>
          <t>LFQ-18</t>
        </is>
      </c>
      <c r="H424" s="29" t="n">
        <v>22</v>
      </c>
      <c r="I424" s="25" t="inlineStr">
        <is>
          <t>¥19–25</t>
        </is>
      </c>
      <c r="J424" s="29" t="n">
        <v>18</v>
      </c>
      <c r="K424" s="29" t="n">
        <v>38</v>
      </c>
      <c r="L424" s="37" t="n">
        <v>4</v>
      </c>
      <c r="M424" s="28" t="n">
        <v>5.59</v>
      </c>
      <c r="N424" s="32" t="inlineStr">
        <is>
          <t>常规备选，放在长尾分类；用低价冲量，不单独投流</t>
        </is>
      </c>
    </row>
    <row r="425">
      <c r="A425" s="25" t="n">
        <v>423</v>
      </c>
      <c r="B425" s="25" t="inlineStr">
        <is>
          <t>康佳</t>
        </is>
      </c>
      <c r="C425" s="35" t="inlineStr">
        <is>
          <t>B</t>
        </is>
      </c>
      <c r="D425" s="26" t="inlineStr">
        <is>
          <t>理发器</t>
        </is>
      </c>
      <c r="E425" s="26" t="inlineStr">
        <is>
          <t>理发器</t>
        </is>
      </c>
      <c r="F425" s="26" t="inlineStr">
        <is>
          <t>康佳/婴儿理发器/蓝色/KLFQ-1331-T</t>
        </is>
      </c>
      <c r="G425" s="26" t="inlineStr">
        <is>
          <t>LFQ-19</t>
        </is>
      </c>
      <c r="H425" s="29" t="n">
        <v>22</v>
      </c>
      <c r="I425" s="25" t="inlineStr">
        <is>
          <t>¥19–25</t>
        </is>
      </c>
      <c r="J425" s="29" t="n">
        <v>18</v>
      </c>
      <c r="K425" s="29" t="n">
        <v>38</v>
      </c>
      <c r="L425" s="37" t="n">
        <v>4</v>
      </c>
      <c r="M425" s="28" t="n">
        <v>5.59</v>
      </c>
      <c r="N425" s="32" t="inlineStr">
        <is>
          <t>常规备选，放在长尾分类；用低价冲量，不单独投流</t>
        </is>
      </c>
    </row>
    <row r="426">
      <c r="A426" s="25" t="n">
        <v>424</v>
      </c>
      <c r="B426" s="25" t="inlineStr">
        <is>
          <t>康佳</t>
        </is>
      </c>
      <c r="C426" s="35" t="inlineStr">
        <is>
          <t>B</t>
        </is>
      </c>
      <c r="D426" s="26" t="inlineStr">
        <is>
          <t>理发器</t>
        </is>
      </c>
      <c r="E426" s="26" t="inlineStr">
        <is>
          <t>理发器</t>
        </is>
      </c>
      <c r="F426" s="26" t="inlineStr">
        <is>
          <t>康佳/数显理发器/黑色/KLFQ-0821-T</t>
        </is>
      </c>
      <c r="G426" s="26" t="inlineStr">
        <is>
          <t>LFQ-21</t>
        </is>
      </c>
      <c r="H426" s="29" t="n">
        <v>22</v>
      </c>
      <c r="I426" s="25" t="inlineStr">
        <is>
          <t>¥19–25</t>
        </is>
      </c>
      <c r="J426" s="29" t="n">
        <v>18</v>
      </c>
      <c r="K426" s="29" t="n">
        <v>38</v>
      </c>
      <c r="L426" s="37" t="n">
        <v>4</v>
      </c>
      <c r="M426" s="28" t="n">
        <v>5.59</v>
      </c>
      <c r="N426" s="32" t="inlineStr">
        <is>
          <t>常规备选，放在长尾分类；用低价冲量，不单独投流</t>
        </is>
      </c>
    </row>
    <row r="427">
      <c r="A427" s="25" t="n">
        <v>425</v>
      </c>
      <c r="B427" s="25" t="inlineStr">
        <is>
          <t>康佳</t>
        </is>
      </c>
      <c r="C427" s="35" t="inlineStr">
        <is>
          <t>B</t>
        </is>
      </c>
      <c r="D427" s="26" t="inlineStr">
        <is>
          <t>理发器</t>
        </is>
      </c>
      <c r="E427" s="26" t="inlineStr">
        <is>
          <t>理发器</t>
        </is>
      </c>
      <c r="F427" s="26" t="inlineStr">
        <is>
          <t>康佳/数显理发器/红色/KLFQ-0821-T</t>
        </is>
      </c>
      <c r="G427" s="26" t="inlineStr">
        <is>
          <t>LFQ-23</t>
        </is>
      </c>
      <c r="H427" s="29" t="n">
        <v>22</v>
      </c>
      <c r="I427" s="25" t="inlineStr">
        <is>
          <t>¥19–25</t>
        </is>
      </c>
      <c r="J427" s="29" t="n">
        <v>18</v>
      </c>
      <c r="K427" s="29" t="n">
        <v>38</v>
      </c>
      <c r="L427" s="37" t="n">
        <v>4</v>
      </c>
      <c r="M427" s="28" t="n">
        <v>5.59</v>
      </c>
      <c r="N427" s="32" t="inlineStr">
        <is>
          <t>常规备选，放在长尾分类；用低价冲量，不单独投流</t>
        </is>
      </c>
    </row>
    <row r="428">
      <c r="A428" s="25" t="n">
        <v>426</v>
      </c>
      <c r="B428" s="25" t="inlineStr">
        <is>
          <t>康佳</t>
        </is>
      </c>
      <c r="C428" s="35" t="inlineStr">
        <is>
          <t>B</t>
        </is>
      </c>
      <c r="D428" s="26" t="inlineStr">
        <is>
          <t>理发器</t>
        </is>
      </c>
      <c r="E428" s="26" t="inlineStr">
        <is>
          <t>理发器</t>
        </is>
      </c>
      <c r="F428" s="26" t="inlineStr">
        <is>
          <t>康佳/数显理发器/蓝色/KLFQ-0821-T</t>
        </is>
      </c>
      <c r="G428" s="26" t="inlineStr">
        <is>
          <t>LFQ-24</t>
        </is>
      </c>
      <c r="H428" s="29" t="n">
        <v>22</v>
      </c>
      <c r="I428" s="25" t="inlineStr">
        <is>
          <t>¥19–25</t>
        </is>
      </c>
      <c r="J428" s="29" t="n">
        <v>18</v>
      </c>
      <c r="K428" s="29" t="n">
        <v>38</v>
      </c>
      <c r="L428" s="37" t="n">
        <v>4</v>
      </c>
      <c r="M428" s="28" t="n">
        <v>5.59</v>
      </c>
      <c r="N428" s="32" t="inlineStr">
        <is>
          <t>常规备选，放在长尾分类；用低价冲量，不单独投流</t>
        </is>
      </c>
    </row>
    <row r="429">
      <c r="A429" s="25" t="n">
        <v>427</v>
      </c>
      <c r="B429" s="25" t="inlineStr">
        <is>
          <t>康佳</t>
        </is>
      </c>
      <c r="C429" s="35" t="inlineStr">
        <is>
          <t>B</t>
        </is>
      </c>
      <c r="D429" s="26" t="inlineStr">
        <is>
          <t>理发器</t>
        </is>
      </c>
      <c r="E429" s="26" t="inlineStr">
        <is>
          <t>理发器</t>
        </is>
      </c>
      <c r="F429" s="26" t="inlineStr">
        <is>
          <t>康佳/数显理发器/银色/KLFQ-0821-T</t>
        </is>
      </c>
      <c r="G429" s="26" t="inlineStr">
        <is>
          <t>LFQ-22</t>
        </is>
      </c>
      <c r="H429" s="29" t="n">
        <v>22</v>
      </c>
      <c r="I429" s="25" t="inlineStr">
        <is>
          <t>¥19–25</t>
        </is>
      </c>
      <c r="J429" s="29" t="n">
        <v>18</v>
      </c>
      <c r="K429" s="29" t="n">
        <v>38</v>
      </c>
      <c r="L429" s="37" t="n">
        <v>4</v>
      </c>
      <c r="M429" s="28" t="n">
        <v>5.59</v>
      </c>
      <c r="N429" s="32" t="inlineStr">
        <is>
          <t>常规备选，放在长尾分类；用低价冲量，不单独投流</t>
        </is>
      </c>
    </row>
    <row r="430">
      <c r="A430" s="25" t="n">
        <v>428</v>
      </c>
      <c r="B430" s="25" t="inlineStr">
        <is>
          <t>康佳</t>
        </is>
      </c>
      <c r="C430" s="35" t="inlineStr">
        <is>
          <t>B</t>
        </is>
      </c>
      <c r="D430" s="26" t="inlineStr">
        <is>
          <t>理发器</t>
        </is>
      </c>
      <c r="E430" s="26" t="inlineStr">
        <is>
          <t>理发器</t>
        </is>
      </c>
      <c r="F430" s="26" t="inlineStr">
        <is>
          <t>康佳/数显理发器/灰色/KLFQ-0823-T</t>
        </is>
      </c>
      <c r="G430" s="26" t="inlineStr">
        <is>
          <t>LFQ-25</t>
        </is>
      </c>
      <c r="H430" s="29" t="n">
        <v>22</v>
      </c>
      <c r="I430" s="25" t="inlineStr">
        <is>
          <t>¥19–25</t>
        </is>
      </c>
      <c r="J430" s="29" t="n">
        <v>18</v>
      </c>
      <c r="K430" s="29" t="n">
        <v>38</v>
      </c>
      <c r="L430" s="37" t="n">
        <v>4</v>
      </c>
      <c r="M430" s="28" t="n">
        <v>5.59</v>
      </c>
      <c r="N430" s="32" t="inlineStr">
        <is>
          <t>常规备选，放在长尾分类；用低价冲量，不单独投流</t>
        </is>
      </c>
    </row>
    <row r="431">
      <c r="A431" s="25" t="n">
        <v>429</v>
      </c>
      <c r="B431" s="25" t="inlineStr">
        <is>
          <t>康佳</t>
        </is>
      </c>
      <c r="C431" s="35" t="inlineStr">
        <is>
          <t>B</t>
        </is>
      </c>
      <c r="D431" s="26" t="inlineStr">
        <is>
          <t>理发器</t>
        </is>
      </c>
      <c r="E431" s="26" t="inlineStr">
        <is>
          <t>理发器</t>
        </is>
      </c>
      <c r="F431" s="26" t="inlineStr">
        <is>
          <t>康佳/数显理发器/蓝色/KLFQ-0823-T</t>
        </is>
      </c>
      <c r="G431" s="26" t="inlineStr">
        <is>
          <t>LFQ-26</t>
        </is>
      </c>
      <c r="H431" s="29" t="n">
        <v>22</v>
      </c>
      <c r="I431" s="25" t="inlineStr">
        <is>
          <t>¥19–25</t>
        </is>
      </c>
      <c r="J431" s="29" t="n">
        <v>18</v>
      </c>
      <c r="K431" s="29" t="n">
        <v>38</v>
      </c>
      <c r="L431" s="37" t="n">
        <v>4</v>
      </c>
      <c r="M431" s="28" t="n">
        <v>5.59</v>
      </c>
      <c r="N431" s="32" t="inlineStr">
        <is>
          <t>常规备选，放在长尾分类；用低价冲量，不单独投流</t>
        </is>
      </c>
    </row>
    <row r="432">
      <c r="A432" s="25" t="n">
        <v>430</v>
      </c>
      <c r="B432" s="25" t="inlineStr">
        <is>
          <t>通货</t>
        </is>
      </c>
      <c r="C432" s="35" t="inlineStr">
        <is>
          <t>B</t>
        </is>
      </c>
      <c r="D432" s="26" t="inlineStr">
        <is>
          <t>理发器</t>
        </is>
      </c>
      <c r="E432" s="26" t="inlineStr">
        <is>
          <t>理发器配件</t>
        </is>
      </c>
      <c r="F432" s="26" t="inlineStr">
        <is>
          <t>理发配件（围布+海绵+两头梳）</t>
        </is>
      </c>
      <c r="G432" s="26" t="inlineStr">
        <is>
          <t>LFQ-27</t>
        </is>
      </c>
      <c r="H432" s="29" t="n">
        <v>22</v>
      </c>
      <c r="I432" s="25" t="inlineStr">
        <is>
          <t>¥19–25</t>
        </is>
      </c>
      <c r="J432" s="29" t="n">
        <v>18</v>
      </c>
      <c r="K432" s="29" t="n">
        <v>38</v>
      </c>
      <c r="L432" s="37" t="n">
        <v>4</v>
      </c>
      <c r="M432" s="28" t="n">
        <v>5.59</v>
      </c>
      <c r="N432" s="32" t="inlineStr">
        <is>
          <t>常规备选，放在长尾分类；用低价冲量，不单独投流</t>
        </is>
      </c>
    </row>
    <row r="433">
      <c r="A433" s="25" t="n">
        <v>431</v>
      </c>
      <c r="B433" s="25" t="inlineStr">
        <is>
          <t>通货</t>
        </is>
      </c>
      <c r="C433" s="35" t="inlineStr">
        <is>
          <t>B</t>
        </is>
      </c>
      <c r="D433" s="26" t="inlineStr">
        <is>
          <t>理发器</t>
        </is>
      </c>
      <c r="E433" s="26" t="inlineStr">
        <is>
          <t>理发器配件</t>
        </is>
      </c>
      <c r="F433" s="26" t="inlineStr">
        <is>
          <t>理发配件（平剪+牙剪）</t>
        </is>
      </c>
      <c r="G433" s="26" t="inlineStr">
        <is>
          <t>LFQ-28</t>
        </is>
      </c>
      <c r="H433" s="29" t="n">
        <v>22</v>
      </c>
      <c r="I433" s="25" t="inlineStr">
        <is>
          <t>¥19–25</t>
        </is>
      </c>
      <c r="J433" s="29" t="n">
        <v>18</v>
      </c>
      <c r="K433" s="29" t="n">
        <v>38</v>
      </c>
      <c r="L433" s="37" t="n">
        <v>4</v>
      </c>
      <c r="M433" s="28" t="n">
        <v>5.59</v>
      </c>
      <c r="N433" s="32" t="inlineStr">
        <is>
          <t>常规备选，放在长尾分类；用低价冲量，不单独投流</t>
        </is>
      </c>
    </row>
    <row r="434">
      <c r="A434" s="25" t="n">
        <v>432</v>
      </c>
      <c r="B434" s="25" t="inlineStr">
        <is>
          <t>mericle</t>
        </is>
      </c>
      <c r="C434" s="35" t="inlineStr">
        <is>
          <t>B</t>
        </is>
      </c>
      <c r="D434" s="26" t="inlineStr">
        <is>
          <t>黑头仪</t>
        </is>
      </c>
      <c r="E434" s="26" t="inlineStr">
        <is>
          <t>超微气泡洁面仪</t>
        </is>
      </c>
      <c r="F434" s="26" t="inlineStr">
        <is>
          <t>Mericle/小气泡黑头仪</t>
        </is>
      </c>
      <c r="G434" s="26" t="inlineStr">
        <is>
          <t>Mericle-HTY-01</t>
        </is>
      </c>
      <c r="H434" s="29" t="n">
        <v>22</v>
      </c>
      <c r="I434" s="25" t="inlineStr">
        <is>
          <t>¥17–27</t>
        </is>
      </c>
      <c r="J434" s="29" t="n">
        <v>16</v>
      </c>
      <c r="K434" s="29" t="n">
        <v>36</v>
      </c>
      <c r="L434" s="37" t="n">
        <v>2.5</v>
      </c>
      <c r="M434" s="28" t="n">
        <v>5.55</v>
      </c>
      <c r="N434" s="32" t="inlineStr">
        <is>
          <t>常规备选，放在长尾分类；用低价冲量，不单独投流</t>
        </is>
      </c>
    </row>
    <row r="435">
      <c r="A435" s="25" t="n">
        <v>433</v>
      </c>
      <c r="B435" s="25" t="inlineStr">
        <is>
          <t>mericle</t>
        </is>
      </c>
      <c r="C435" s="35" t="inlineStr">
        <is>
          <t>B</t>
        </is>
      </c>
      <c r="D435" s="26" t="inlineStr">
        <is>
          <t>黑头仪</t>
        </is>
      </c>
      <c r="E435" s="26" t="inlineStr">
        <is>
          <t>小气泡美容仪器</t>
        </is>
      </c>
      <c r="F435" s="26" t="inlineStr">
        <is>
          <t>Mericle/升级款小气泡黑头仪/XQP001</t>
        </is>
      </c>
      <c r="G435" s="26" t="inlineStr">
        <is>
          <t>Mericle-HTY-02</t>
        </is>
      </c>
      <c r="H435" s="29" t="n">
        <v>22</v>
      </c>
      <c r="I435" s="25" t="inlineStr">
        <is>
          <t>¥17–27</t>
        </is>
      </c>
      <c r="J435" s="29" t="n">
        <v>16</v>
      </c>
      <c r="K435" s="29" t="n">
        <v>36</v>
      </c>
      <c r="L435" s="37" t="n">
        <v>2.5</v>
      </c>
      <c r="M435" s="28" t="n">
        <v>5.55</v>
      </c>
      <c r="N435" s="32" t="inlineStr">
        <is>
          <t>常规备选，放在长尾分类；用低价冲量，不单独投流</t>
        </is>
      </c>
    </row>
    <row r="436">
      <c r="A436" s="25" t="n">
        <v>434</v>
      </c>
      <c r="B436" s="25" t="inlineStr">
        <is>
          <t>mericle</t>
        </is>
      </c>
      <c r="C436" s="35" t="inlineStr">
        <is>
          <t>B</t>
        </is>
      </c>
      <c r="D436" s="26" t="inlineStr">
        <is>
          <t>黑头仪</t>
        </is>
      </c>
      <c r="E436" s="26" t="inlineStr">
        <is>
          <t>黑头仪</t>
        </is>
      </c>
      <c r="F436" s="26" t="inlineStr">
        <is>
          <t>Mericle/小气泡黑头仪/X19（Z）</t>
        </is>
      </c>
      <c r="G436" s="26" t="inlineStr">
        <is>
          <t>Mericle-HTY-03</t>
        </is>
      </c>
      <c r="H436" s="29" t="n">
        <v>22</v>
      </c>
      <c r="I436" s="25" t="inlineStr">
        <is>
          <t>¥17–27</t>
        </is>
      </c>
      <c r="J436" s="29" t="n">
        <v>16</v>
      </c>
      <c r="K436" s="29" t="n">
        <v>36</v>
      </c>
      <c r="L436" s="37" t="n">
        <v>2.5</v>
      </c>
      <c r="M436" s="28" t="n">
        <v>5.55</v>
      </c>
      <c r="N436" s="32" t="inlineStr">
        <is>
          <t>常规备选，放在长尾分类；用低价冲量，不单独投流</t>
        </is>
      </c>
    </row>
    <row r="437">
      <c r="A437" s="25" t="n">
        <v>435</v>
      </c>
      <c r="B437" s="25" t="inlineStr">
        <is>
          <t>mericle</t>
        </is>
      </c>
      <c r="C437" s="35" t="inlineStr">
        <is>
          <t>B</t>
        </is>
      </c>
      <c r="D437" s="26" t="inlineStr">
        <is>
          <t>黑头仪</t>
        </is>
      </c>
      <c r="E437" s="26" t="inlineStr">
        <is>
          <t>黑头仪</t>
        </is>
      </c>
      <c r="F437" s="26" t="inlineStr">
        <is>
          <t>Mericle/小气泡黑头仪/XQP003（新款）</t>
        </is>
      </c>
      <c r="G437" s="26" t="n"/>
      <c r="H437" s="29" t="n">
        <v>22</v>
      </c>
      <c r="I437" s="25" t="inlineStr">
        <is>
          <t>¥17–27</t>
        </is>
      </c>
      <c r="J437" s="29" t="n">
        <v>16</v>
      </c>
      <c r="K437" s="29" t="n">
        <v>36</v>
      </c>
      <c r="L437" s="37" t="n">
        <v>2.5</v>
      </c>
      <c r="M437" s="28" t="n">
        <v>5.55</v>
      </c>
      <c r="N437" s="32" t="inlineStr">
        <is>
          <t>常规备选，放在长尾分类；用低价冲量，不单独投流</t>
        </is>
      </c>
    </row>
    <row r="438">
      <c r="A438" s="25" t="n">
        <v>436</v>
      </c>
      <c r="B438" s="25" t="inlineStr">
        <is>
          <t>美悟</t>
        </is>
      </c>
      <c r="C438" s="35" t="inlineStr">
        <is>
          <t>B</t>
        </is>
      </c>
      <c r="D438" s="26" t="inlineStr">
        <is>
          <t>黑头仪</t>
        </is>
      </c>
      <c r="E438" s="26" t="inlineStr">
        <is>
          <t>美悟微晶吸黑头仪</t>
        </is>
      </c>
      <c r="F438" s="26" t="inlineStr">
        <is>
          <t>美悟 黑头仪（充电款）
美悟 黑头仪（充电款）</t>
        </is>
      </c>
      <c r="G438" s="26" t="inlineStr">
        <is>
          <t>MY-HTC
MY-HTD</t>
        </is>
      </c>
      <c r="H438" s="29" t="n">
        <v>22</v>
      </c>
      <c r="I438" s="25" t="inlineStr">
        <is>
          <t>¥17–27</t>
        </is>
      </c>
      <c r="J438" s="29" t="n">
        <v>16</v>
      </c>
      <c r="K438" s="29" t="n">
        <v>36</v>
      </c>
      <c r="L438" s="37" t="n">
        <v>2.5</v>
      </c>
      <c r="M438" s="28" t="n">
        <v>5.55</v>
      </c>
      <c r="N438" s="32" t="inlineStr">
        <is>
          <t>常规备选，放在长尾分类；用低价冲量，不单独投流</t>
        </is>
      </c>
    </row>
    <row r="439">
      <c r="A439" s="25" t="n">
        <v>437</v>
      </c>
      <c r="B439" s="25" t="inlineStr">
        <is>
          <t>通货</t>
        </is>
      </c>
      <c r="C439" s="35" t="inlineStr">
        <is>
          <t>B</t>
        </is>
      </c>
      <c r="D439" s="26" t="inlineStr">
        <is>
          <t>洗眼液</t>
        </is>
      </c>
      <c r="E439" s="26" t="inlineStr">
        <is>
          <t>洗眼液</t>
        </is>
      </c>
      <c r="F439" s="26" t="inlineStr">
        <is>
          <t>洗眼液/260ml</t>
        </is>
      </c>
      <c r="G439" s="26" t="inlineStr">
        <is>
          <t>XYY-01</t>
        </is>
      </c>
      <c r="H439" s="29" t="n">
        <v>12</v>
      </c>
      <c r="I439" s="25" t="inlineStr">
        <is>
          <t>¥10–13</t>
        </is>
      </c>
      <c r="J439" s="29" t="n">
        <v>10</v>
      </c>
      <c r="K439" s="29" t="n">
        <v>18</v>
      </c>
      <c r="L439" s="37" t="n">
        <v>18.5</v>
      </c>
      <c r="M439" s="28" t="n">
        <v>5.54</v>
      </c>
      <c r="N439" s="32" t="inlineStr">
        <is>
          <t>常规备选，放在长尾分类；用低价冲量，不单独投流</t>
        </is>
      </c>
    </row>
    <row r="440">
      <c r="A440" s="25" t="n">
        <v>438</v>
      </c>
      <c r="B440" s="25" t="inlineStr">
        <is>
          <t>mericle</t>
        </is>
      </c>
      <c r="C440" s="35" t="inlineStr">
        <is>
          <t>B</t>
        </is>
      </c>
      <c r="D440" s="26" t="inlineStr">
        <is>
          <t>鼻毛修剪器</t>
        </is>
      </c>
      <c r="E440" s="26" t="inlineStr">
        <is>
          <t>mericle鼻毛修剪器</t>
        </is>
      </c>
      <c r="F440" s="26" t="inlineStr">
        <is>
          <t>美丽蔻BMXJQ充电款</t>
        </is>
      </c>
      <c r="G440" s="26" t="inlineStr">
        <is>
          <t>Mericle-bmxjqC</t>
        </is>
      </c>
      <c r="H440" s="29" t="n">
        <v>12</v>
      </c>
      <c r="I440" s="25" t="inlineStr">
        <is>
          <t>¥10–15</t>
        </is>
      </c>
      <c r="J440" s="29" t="n">
        <v>10</v>
      </c>
      <c r="K440" s="29" t="n">
        <v>15</v>
      </c>
      <c r="L440" s="37" t="n">
        <v>2</v>
      </c>
      <c r="M440" s="28" t="n">
        <v>5.49</v>
      </c>
      <c r="N440" s="32" t="inlineStr">
        <is>
          <t>常规备选，放在长尾分类；用低价冲量，不单独投流</t>
        </is>
      </c>
    </row>
    <row r="441">
      <c r="A441" s="25" t="n">
        <v>439</v>
      </c>
      <c r="B441" s="25" t="inlineStr">
        <is>
          <t>mericle</t>
        </is>
      </c>
      <c r="C441" s="35" t="inlineStr">
        <is>
          <t>B</t>
        </is>
      </c>
      <c r="D441" s="26" t="inlineStr">
        <is>
          <t>鼻毛修剪器</t>
        </is>
      </c>
      <c r="E441" s="26" t="inlineStr">
        <is>
          <t>mericle鼻毛修剪器</t>
        </is>
      </c>
      <c r="F441" s="26" t="inlineStr">
        <is>
          <t>Mericle/BMXJQ/黑色</t>
        </is>
      </c>
      <c r="G441" s="26" t="inlineStr">
        <is>
          <t>Mericle/BMXJQ/HS</t>
        </is>
      </c>
      <c r="H441" s="29" t="n">
        <v>12</v>
      </c>
      <c r="I441" s="25" t="inlineStr">
        <is>
          <t>¥10–15</t>
        </is>
      </c>
      <c r="J441" s="29" t="n">
        <v>10</v>
      </c>
      <c r="K441" s="29" t="n">
        <v>15</v>
      </c>
      <c r="L441" s="37" t="n">
        <v>2</v>
      </c>
      <c r="M441" s="28" t="n">
        <v>5.49</v>
      </c>
      <c r="N441" s="32" t="inlineStr">
        <is>
          <t>常规备选，放在长尾分类；用低价冲量，不单独投流</t>
        </is>
      </c>
    </row>
    <row r="442">
      <c r="A442" s="25" t="n">
        <v>440</v>
      </c>
      <c r="B442" s="25" t="inlineStr">
        <is>
          <t>mericle</t>
        </is>
      </c>
      <c r="C442" s="35" t="inlineStr">
        <is>
          <t>B</t>
        </is>
      </c>
      <c r="D442" s="26" t="inlineStr">
        <is>
          <t>鼻毛修剪器</t>
        </is>
      </c>
      <c r="E442" s="26" t="inlineStr">
        <is>
          <t>mericle鼻毛修剪器</t>
        </is>
      </c>
      <c r="F442" s="26" t="inlineStr">
        <is>
          <t>Mericle/BMXJQ/二代</t>
        </is>
      </c>
      <c r="G442" s="26" t="inlineStr">
        <is>
          <t>M/BMXJQ/0310</t>
        </is>
      </c>
      <c r="H442" s="29" t="n">
        <v>12</v>
      </c>
      <c r="I442" s="25" t="inlineStr">
        <is>
          <t>¥10–15</t>
        </is>
      </c>
      <c r="J442" s="29" t="n">
        <v>10</v>
      </c>
      <c r="K442" s="29" t="n">
        <v>15</v>
      </c>
      <c r="L442" s="37" t="n">
        <v>2</v>
      </c>
      <c r="M442" s="28" t="n">
        <v>5.49</v>
      </c>
      <c r="N442" s="32" t="inlineStr">
        <is>
          <t>常规备选，放在长尾分类；用低价冲量，不单独投流</t>
        </is>
      </c>
    </row>
    <row r="443">
      <c r="A443" s="25" t="n">
        <v>441</v>
      </c>
      <c r="B443" s="25" t="inlineStr">
        <is>
          <t>mericle</t>
        </is>
      </c>
      <c r="C443" s="35" t="inlineStr">
        <is>
          <t>B</t>
        </is>
      </c>
      <c r="D443" s="26" t="inlineStr">
        <is>
          <t>鼻毛修剪器</t>
        </is>
      </c>
      <c r="E443" s="26" t="inlineStr">
        <is>
          <t>mericle鼻毛修剪器</t>
        </is>
      </c>
      <c r="F443" s="26" t="inlineStr">
        <is>
          <t>Mericle/BMXJQ/三代</t>
        </is>
      </c>
      <c r="G443" s="26" t="inlineStr">
        <is>
          <t>BMXJQ-12</t>
        </is>
      </c>
      <c r="H443" s="29" t="n">
        <v>12</v>
      </c>
      <c r="I443" s="25" t="inlineStr">
        <is>
          <t>¥10–15</t>
        </is>
      </c>
      <c r="J443" s="29" t="n">
        <v>10</v>
      </c>
      <c r="K443" s="29" t="n">
        <v>15</v>
      </c>
      <c r="L443" s="37" t="n">
        <v>2</v>
      </c>
      <c r="M443" s="28" t="n">
        <v>5.49</v>
      </c>
      <c r="N443" s="32" t="inlineStr">
        <is>
          <t>常规备选，放在长尾分类；用低价冲量，不单独投流</t>
        </is>
      </c>
    </row>
    <row r="444">
      <c r="A444" s="25" t="n">
        <v>442</v>
      </c>
      <c r="B444" s="25" t="inlineStr">
        <is>
          <t>mericle</t>
        </is>
      </c>
      <c r="C444" s="35" t="inlineStr">
        <is>
          <t>B</t>
        </is>
      </c>
      <c r="D444" s="26" t="inlineStr">
        <is>
          <t>鼻毛修剪器</t>
        </is>
      </c>
      <c r="E444" s="26" t="inlineStr">
        <is>
          <t>mericle鼻毛修剪器</t>
        </is>
      </c>
      <c r="F444" s="26" t="inlineStr">
        <is>
          <t>M/BMXJQ/五代/橙色/BMQ-003</t>
        </is>
      </c>
      <c r="G444" s="26" t="inlineStr">
        <is>
          <t>BMXJQ-14</t>
        </is>
      </c>
      <c r="H444" s="29" t="n">
        <v>12</v>
      </c>
      <c r="I444" s="25" t="inlineStr">
        <is>
          <t>¥10–15</t>
        </is>
      </c>
      <c r="J444" s="29" t="n">
        <v>10</v>
      </c>
      <c r="K444" s="29" t="n">
        <v>15</v>
      </c>
      <c r="L444" s="37" t="n">
        <v>2</v>
      </c>
      <c r="M444" s="28" t="n">
        <v>5.49</v>
      </c>
      <c r="N444" s="32" t="inlineStr">
        <is>
          <t>常规备选，放在长尾分类；用低价冲量，不单独投流</t>
        </is>
      </c>
    </row>
    <row r="445">
      <c r="A445" s="25" t="n">
        <v>443</v>
      </c>
      <c r="B445" s="25" t="inlineStr">
        <is>
          <t>mericle</t>
        </is>
      </c>
      <c r="C445" s="35" t="inlineStr">
        <is>
          <t>B</t>
        </is>
      </c>
      <c r="D445" s="26" t="inlineStr">
        <is>
          <t>鼻毛修剪器</t>
        </is>
      </c>
      <c r="E445" s="26" t="inlineStr">
        <is>
          <t>mericle鼻毛修剪器</t>
        </is>
      </c>
      <c r="F445" s="26" t="inlineStr">
        <is>
          <t>M/BMXJQ/五代/蓝色/BMQ-003</t>
        </is>
      </c>
      <c r="G445" s="26" t="inlineStr">
        <is>
          <t>BMXJQ-15</t>
        </is>
      </c>
      <c r="H445" s="29" t="n">
        <v>12</v>
      </c>
      <c r="I445" s="25" t="inlineStr">
        <is>
          <t>¥10–15</t>
        </is>
      </c>
      <c r="J445" s="29" t="n">
        <v>10</v>
      </c>
      <c r="K445" s="29" t="n">
        <v>15</v>
      </c>
      <c r="L445" s="37" t="n">
        <v>2</v>
      </c>
      <c r="M445" s="28" t="n">
        <v>5.49</v>
      </c>
      <c r="N445" s="32" t="inlineStr">
        <is>
          <t>常规备选，放在长尾分类；用低价冲量，不单独投流</t>
        </is>
      </c>
    </row>
    <row r="446">
      <c r="A446" s="25" t="n">
        <v>444</v>
      </c>
      <c r="B446" s="25" t="inlineStr">
        <is>
          <t>mericle</t>
        </is>
      </c>
      <c r="C446" s="35" t="inlineStr">
        <is>
          <t>B</t>
        </is>
      </c>
      <c r="D446" s="26" t="inlineStr">
        <is>
          <t>鼻毛修剪器</t>
        </is>
      </c>
      <c r="E446" s="26" t="inlineStr">
        <is>
          <t>mericle鼻毛修剪器</t>
        </is>
      </c>
      <c r="F446" s="26" t="inlineStr">
        <is>
          <t>M/BMXJQ/五代/黑色/BMQ-003</t>
        </is>
      </c>
      <c r="G446" s="26" t="inlineStr">
        <is>
          <t>BMXJQ-42</t>
        </is>
      </c>
      <c r="H446" s="29" t="n">
        <v>12</v>
      </c>
      <c r="I446" s="25" t="inlineStr">
        <is>
          <t>¥10–15</t>
        </is>
      </c>
      <c r="J446" s="29" t="n">
        <v>10</v>
      </c>
      <c r="K446" s="29" t="n">
        <v>15</v>
      </c>
      <c r="L446" s="37" t="n">
        <v>2</v>
      </c>
      <c r="M446" s="28" t="n">
        <v>5.49</v>
      </c>
      <c r="N446" s="32" t="inlineStr">
        <is>
          <t>常规备选，放在长尾分类；用低价冲量，不单独投流</t>
        </is>
      </c>
    </row>
    <row r="447">
      <c r="A447" s="25" t="n">
        <v>445</v>
      </c>
      <c r="B447" s="25" t="inlineStr">
        <is>
          <t>mericle</t>
        </is>
      </c>
      <c r="C447" s="35" t="inlineStr">
        <is>
          <t>B</t>
        </is>
      </c>
      <c r="D447" s="26" t="inlineStr">
        <is>
          <t>鼻毛修剪器</t>
        </is>
      </c>
      <c r="E447" s="26" t="inlineStr">
        <is>
          <t>mericle鼻毛修剪器</t>
        </is>
      </c>
      <c r="F447" s="26" t="inlineStr">
        <is>
          <t>Mericle/BMXJQ/七代/蓝色</t>
        </is>
      </c>
      <c r="G447" s="26" t="inlineStr">
        <is>
          <t>BMXJQ-21</t>
        </is>
      </c>
      <c r="H447" s="29" t="n">
        <v>12</v>
      </c>
      <c r="I447" s="25" t="inlineStr">
        <is>
          <t>¥10–15</t>
        </is>
      </c>
      <c r="J447" s="29" t="n">
        <v>10</v>
      </c>
      <c r="K447" s="29" t="n">
        <v>15</v>
      </c>
      <c r="L447" s="37" t="n">
        <v>2</v>
      </c>
      <c r="M447" s="28" t="n">
        <v>5.49</v>
      </c>
      <c r="N447" s="32" t="inlineStr">
        <is>
          <t>常规备选，放在长尾分类；用低价冲量，不单独投流</t>
        </is>
      </c>
    </row>
    <row r="448">
      <c r="A448" s="25" t="n">
        <v>446</v>
      </c>
      <c r="B448" s="25" t="inlineStr">
        <is>
          <t>mericle</t>
        </is>
      </c>
      <c r="C448" s="35" t="inlineStr">
        <is>
          <t>B</t>
        </is>
      </c>
      <c r="D448" s="26" t="inlineStr">
        <is>
          <t>鼻毛修剪器</t>
        </is>
      </c>
      <c r="E448" s="26" t="inlineStr">
        <is>
          <t>mericle鼻毛修剪器</t>
        </is>
      </c>
      <c r="F448" s="26" t="inlineStr">
        <is>
          <t>Mericle/BMXJQ/七代/黑色</t>
        </is>
      </c>
      <c r="G448" s="26" t="inlineStr">
        <is>
          <t>BMXJQ-22</t>
        </is>
      </c>
      <c r="H448" s="29" t="n">
        <v>12</v>
      </c>
      <c r="I448" s="25" t="inlineStr">
        <is>
          <t>¥10–15</t>
        </is>
      </c>
      <c r="J448" s="29" t="n">
        <v>10</v>
      </c>
      <c r="K448" s="29" t="n">
        <v>15</v>
      </c>
      <c r="L448" s="37" t="n">
        <v>2</v>
      </c>
      <c r="M448" s="28" t="n">
        <v>5.49</v>
      </c>
      <c r="N448" s="32" t="inlineStr">
        <is>
          <t>常规备选，放在长尾分类；用低价冲量，不单独投流</t>
        </is>
      </c>
    </row>
    <row r="449">
      <c r="A449" s="25" t="n">
        <v>447</v>
      </c>
      <c r="B449" s="25" t="inlineStr">
        <is>
          <t>mericle</t>
        </is>
      </c>
      <c r="C449" s="35" t="inlineStr">
        <is>
          <t>B</t>
        </is>
      </c>
      <c r="D449" s="26" t="inlineStr">
        <is>
          <t>鼻毛修剪器</t>
        </is>
      </c>
      <c r="E449" s="26" t="inlineStr">
        <is>
          <t>鼻毛修剪器</t>
        </is>
      </c>
      <c r="F449" s="26" t="inlineStr">
        <is>
          <t>Mericle /电动BMXJQ升级款/蓝色</t>
        </is>
      </c>
      <c r="G449" s="26" t="inlineStr">
        <is>
          <t>BMXJQ-35</t>
        </is>
      </c>
      <c r="H449" s="29" t="n">
        <v>12</v>
      </c>
      <c r="I449" s="25" t="inlineStr">
        <is>
          <t>¥10–15</t>
        </is>
      </c>
      <c r="J449" s="29" t="n">
        <v>10</v>
      </c>
      <c r="K449" s="29" t="n">
        <v>15</v>
      </c>
      <c r="L449" s="37" t="n">
        <v>2</v>
      </c>
      <c r="M449" s="28" t="n">
        <v>5.49</v>
      </c>
      <c r="N449" s="32" t="inlineStr">
        <is>
          <t>常规备选，放在长尾分类；用低价冲量，不单独投流</t>
        </is>
      </c>
    </row>
    <row r="450">
      <c r="A450" s="25" t="n">
        <v>448</v>
      </c>
      <c r="B450" s="25" t="inlineStr">
        <is>
          <t>mericle</t>
        </is>
      </c>
      <c r="C450" s="35" t="inlineStr">
        <is>
          <t>B</t>
        </is>
      </c>
      <c r="D450" s="26" t="inlineStr">
        <is>
          <t>鼻毛修剪器</t>
        </is>
      </c>
      <c r="E450" s="26" t="inlineStr">
        <is>
          <t>鼻毛修剪器</t>
        </is>
      </c>
      <c r="F450" s="26" t="inlineStr">
        <is>
          <t>Mericle /电动BMXJQ升级款/黑色</t>
        </is>
      </c>
      <c r="G450" s="26" t="inlineStr">
        <is>
          <t>BMXJQ-36</t>
        </is>
      </c>
      <c r="H450" s="29" t="n">
        <v>12</v>
      </c>
      <c r="I450" s="25" t="inlineStr">
        <is>
          <t>¥10–15</t>
        </is>
      </c>
      <c r="J450" s="29" t="n">
        <v>10</v>
      </c>
      <c r="K450" s="29" t="n">
        <v>15</v>
      </c>
      <c r="L450" s="37" t="n">
        <v>2</v>
      </c>
      <c r="M450" s="28" t="n">
        <v>5.49</v>
      </c>
      <c r="N450" s="32" t="inlineStr">
        <is>
          <t>常规备选，放在长尾分类；用低价冲量，不单独投流</t>
        </is>
      </c>
    </row>
    <row r="451">
      <c r="A451" s="25" t="n">
        <v>449</v>
      </c>
      <c r="B451" s="25" t="inlineStr">
        <is>
          <t>mericle</t>
        </is>
      </c>
      <c r="C451" s="35" t="inlineStr">
        <is>
          <t>B</t>
        </is>
      </c>
      <c r="D451" s="26" t="inlineStr">
        <is>
          <t>鼻毛修剪器</t>
        </is>
      </c>
      <c r="E451" s="26" t="inlineStr">
        <is>
          <t>鼻毛修剪器</t>
        </is>
      </c>
      <c r="F451" s="26" t="inlineStr">
        <is>
          <t>Mericle /电动BMXJQ升级款/橙色</t>
        </is>
      </c>
      <c r="G451" s="26" t="inlineStr">
        <is>
          <t>BMXJQ-37</t>
        </is>
      </c>
      <c r="H451" s="29" t="n">
        <v>12</v>
      </c>
      <c r="I451" s="25" t="inlineStr">
        <is>
          <t>¥10–15</t>
        </is>
      </c>
      <c r="J451" s="29" t="n">
        <v>10</v>
      </c>
      <c r="K451" s="29" t="n">
        <v>15</v>
      </c>
      <c r="L451" s="37" t="n">
        <v>2</v>
      </c>
      <c r="M451" s="28" t="n">
        <v>5.49</v>
      </c>
      <c r="N451" s="32" t="inlineStr">
        <is>
          <t>常规备选，放在长尾分类；用低价冲量，不单独投流</t>
        </is>
      </c>
    </row>
    <row r="452">
      <c r="A452" s="25" t="n">
        <v>450</v>
      </c>
      <c r="B452" s="25" t="inlineStr">
        <is>
          <t>mericle</t>
        </is>
      </c>
      <c r="C452" s="35" t="inlineStr">
        <is>
          <t>B</t>
        </is>
      </c>
      <c r="D452" s="26" t="inlineStr">
        <is>
          <t>鼻毛修剪器</t>
        </is>
      </c>
      <c r="E452" s="26" t="inlineStr">
        <is>
          <t>电动鼻毛修剪器</t>
        </is>
      </c>
      <c r="F452" s="26" t="inlineStr">
        <is>
          <t>Mericle/BMXJQ/机甲款/黑色</t>
        </is>
      </c>
      <c r="G452" s="26" t="inlineStr">
        <is>
          <t>BMXJQ-38</t>
        </is>
      </c>
      <c r="H452" s="29" t="n">
        <v>12</v>
      </c>
      <c r="I452" s="25" t="inlineStr">
        <is>
          <t>¥10–15</t>
        </is>
      </c>
      <c r="J452" s="29" t="n">
        <v>10</v>
      </c>
      <c r="K452" s="29" t="n">
        <v>15</v>
      </c>
      <c r="L452" s="37" t="n">
        <v>2</v>
      </c>
      <c r="M452" s="28" t="n">
        <v>5.49</v>
      </c>
      <c r="N452" s="32" t="inlineStr">
        <is>
          <t>常规备选，放在长尾分类；用低价冲量，不单独投流</t>
        </is>
      </c>
    </row>
    <row r="453">
      <c r="A453" s="25" t="n">
        <v>451</v>
      </c>
      <c r="B453" s="25" t="inlineStr">
        <is>
          <t>mericle</t>
        </is>
      </c>
      <c r="C453" s="35" t="inlineStr">
        <is>
          <t>B</t>
        </is>
      </c>
      <c r="D453" s="26" t="inlineStr">
        <is>
          <t>鼻毛修剪器</t>
        </is>
      </c>
      <c r="E453" s="26" t="inlineStr">
        <is>
          <t>迷你鼻毛修剪器</t>
        </is>
      </c>
      <c r="F453" s="26" t="inlineStr">
        <is>
          <t>Mericle/BMXJQ/黑色/BMQ009</t>
        </is>
      </c>
      <c r="G453" s="26" t="inlineStr">
        <is>
          <t>BMXJQ-44</t>
        </is>
      </c>
      <c r="H453" s="29" t="n">
        <v>12</v>
      </c>
      <c r="I453" s="25" t="inlineStr">
        <is>
          <t>¥10–15</t>
        </is>
      </c>
      <c r="J453" s="29" t="n">
        <v>10</v>
      </c>
      <c r="K453" s="29" t="n">
        <v>15</v>
      </c>
      <c r="L453" s="37" t="n">
        <v>2</v>
      </c>
      <c r="M453" s="28" t="n">
        <v>5.49</v>
      </c>
      <c r="N453" s="32" t="inlineStr">
        <is>
          <t>常规备选，放在长尾分类；用低价冲量，不单独投流</t>
        </is>
      </c>
    </row>
    <row r="454">
      <c r="A454" s="25" t="n">
        <v>452</v>
      </c>
      <c r="B454" s="25" t="inlineStr">
        <is>
          <t>mericle</t>
        </is>
      </c>
      <c r="C454" s="35" t="inlineStr">
        <is>
          <t>B</t>
        </is>
      </c>
      <c r="D454" s="26" t="inlineStr">
        <is>
          <t>鼻毛修剪器</t>
        </is>
      </c>
      <c r="E454" s="26" t="inlineStr">
        <is>
          <t>迷你鼻毛修剪器</t>
        </is>
      </c>
      <c r="F454" s="26" t="inlineStr">
        <is>
          <t>Mericle/BMXJQ/黑色/BMQ008</t>
        </is>
      </c>
      <c r="G454" s="26" t="inlineStr">
        <is>
          <t>BMXJQ-45</t>
        </is>
      </c>
      <c r="H454" s="29" t="n">
        <v>12</v>
      </c>
      <c r="I454" s="25" t="inlineStr">
        <is>
          <t>¥10–15</t>
        </is>
      </c>
      <c r="J454" s="29" t="n">
        <v>10</v>
      </c>
      <c r="K454" s="29" t="n">
        <v>15</v>
      </c>
      <c r="L454" s="37" t="n">
        <v>2</v>
      </c>
      <c r="M454" s="28" t="n">
        <v>5.49</v>
      </c>
      <c r="N454" s="32" t="inlineStr">
        <is>
          <t>常规备选，放在长尾分类；用低价冲量，不单独投流</t>
        </is>
      </c>
    </row>
    <row r="455">
      <c r="A455" s="25" t="n">
        <v>453</v>
      </c>
      <c r="B455" s="25" t="inlineStr">
        <is>
          <t>康佳</t>
        </is>
      </c>
      <c r="C455" s="35" t="inlineStr">
        <is>
          <t>B</t>
        </is>
      </c>
      <c r="D455" s="26" t="inlineStr">
        <is>
          <t>鼻毛修剪器</t>
        </is>
      </c>
      <c r="E455" s="26" t="inlineStr">
        <is>
          <t>康佳鼻毛修剪器</t>
        </is>
      </c>
      <c r="F455" s="26" t="inlineStr">
        <is>
          <t>康佳/BMXJQ/二代</t>
        </is>
      </c>
      <c r="G455" s="26" t="inlineStr">
        <is>
          <t>BMXJQ-06</t>
        </is>
      </c>
      <c r="H455" s="29" t="n">
        <v>12</v>
      </c>
      <c r="I455" s="25" t="inlineStr">
        <is>
          <t>¥10–15</t>
        </is>
      </c>
      <c r="J455" s="29" t="n">
        <v>10</v>
      </c>
      <c r="K455" s="29" t="n">
        <v>15</v>
      </c>
      <c r="L455" s="37" t="n">
        <v>2</v>
      </c>
      <c r="M455" s="28" t="n">
        <v>5.49</v>
      </c>
      <c r="N455" s="32" t="inlineStr">
        <is>
          <t>常规备选，放在长尾分类；用低价冲量，不单独投流</t>
        </is>
      </c>
    </row>
    <row r="456">
      <c r="A456" s="25" t="n">
        <v>454</v>
      </c>
      <c r="B456" s="25" t="inlineStr">
        <is>
          <t>康佳</t>
        </is>
      </c>
      <c r="C456" s="35" t="inlineStr">
        <is>
          <t>B</t>
        </is>
      </c>
      <c r="D456" s="26" t="inlineStr">
        <is>
          <t>鼻毛修剪器</t>
        </is>
      </c>
      <c r="E456" s="26" t="inlineStr">
        <is>
          <t>鼻毛修剪器</t>
        </is>
      </c>
      <c r="F456" s="26" t="inlineStr">
        <is>
          <t>康佳/电动BMXJQ/湛蓝色</t>
        </is>
      </c>
      <c r="G456" s="26" t="inlineStr">
        <is>
          <t>BMXJQ-08</t>
        </is>
      </c>
      <c r="H456" s="29" t="n">
        <v>12</v>
      </c>
      <c r="I456" s="25" t="inlineStr">
        <is>
          <t>¥10–15</t>
        </is>
      </c>
      <c r="J456" s="29" t="n">
        <v>10</v>
      </c>
      <c r="K456" s="29" t="n">
        <v>15</v>
      </c>
      <c r="L456" s="37" t="n">
        <v>2</v>
      </c>
      <c r="M456" s="28" t="n">
        <v>5.49</v>
      </c>
      <c r="N456" s="32" t="inlineStr">
        <is>
          <t>常规备选，放在长尾分类；用低价冲量，不单独投流</t>
        </is>
      </c>
    </row>
    <row r="457">
      <c r="A457" s="25" t="n">
        <v>455</v>
      </c>
      <c r="B457" s="25" t="inlineStr">
        <is>
          <t>康佳</t>
        </is>
      </c>
      <c r="C457" s="35" t="inlineStr">
        <is>
          <t>B</t>
        </is>
      </c>
      <c r="D457" s="26" t="inlineStr">
        <is>
          <t>鼻毛修剪器</t>
        </is>
      </c>
      <c r="E457" s="26" t="inlineStr">
        <is>
          <t>鼻毛修剪器</t>
        </is>
      </c>
      <c r="F457" s="26" t="inlineStr">
        <is>
          <t>康佳/电动BMXJQ/米白色</t>
        </is>
      </c>
      <c r="G457" s="26" t="inlineStr">
        <is>
          <t>BMXJQ-09</t>
        </is>
      </c>
      <c r="H457" s="29" t="n">
        <v>12</v>
      </c>
      <c r="I457" s="25" t="inlineStr">
        <is>
          <t>¥10–15</t>
        </is>
      </c>
      <c r="J457" s="29" t="n">
        <v>10</v>
      </c>
      <c r="K457" s="29" t="n">
        <v>15</v>
      </c>
      <c r="L457" s="37" t="n">
        <v>2</v>
      </c>
      <c r="M457" s="28" t="n">
        <v>5.49</v>
      </c>
      <c r="N457" s="32" t="inlineStr">
        <is>
          <t>常规备选，放在长尾分类；用低价冲量，不单独投流</t>
        </is>
      </c>
    </row>
    <row r="458">
      <c r="A458" s="25" t="n">
        <v>456</v>
      </c>
      <c r="B458" s="25" t="inlineStr">
        <is>
          <t>康佳</t>
        </is>
      </c>
      <c r="C458" s="35" t="inlineStr">
        <is>
          <t>B</t>
        </is>
      </c>
      <c r="D458" s="26" t="inlineStr">
        <is>
          <t>鼻毛修剪器</t>
        </is>
      </c>
      <c r="E458" s="26" t="inlineStr">
        <is>
          <t>鼻毛修剪器</t>
        </is>
      </c>
      <c r="F458" s="26" t="inlineStr">
        <is>
          <t>康佳/电动BMXJQ/曜夜黑</t>
        </is>
      </c>
      <c r="G458" s="26" t="inlineStr">
        <is>
          <t>BMXJQ-11</t>
        </is>
      </c>
      <c r="H458" s="29" t="n">
        <v>12</v>
      </c>
      <c r="I458" s="25" t="inlineStr">
        <is>
          <t>¥10–15</t>
        </is>
      </c>
      <c r="J458" s="29" t="n">
        <v>10</v>
      </c>
      <c r="K458" s="29" t="n">
        <v>15</v>
      </c>
      <c r="L458" s="37" t="n">
        <v>2</v>
      </c>
      <c r="M458" s="28" t="n">
        <v>5.49</v>
      </c>
      <c r="N458" s="32" t="inlineStr">
        <is>
          <t>常规备选，放在长尾分类；用低价冲量，不单独投流</t>
        </is>
      </c>
    </row>
    <row r="459">
      <c r="A459" s="25" t="n">
        <v>457</v>
      </c>
      <c r="B459" s="25" t="inlineStr">
        <is>
          <t>康佳</t>
        </is>
      </c>
      <c r="C459" s="35" t="inlineStr">
        <is>
          <t>B</t>
        </is>
      </c>
      <c r="D459" s="26" t="inlineStr">
        <is>
          <t>鼻毛修剪器</t>
        </is>
      </c>
      <c r="E459" s="26" t="inlineStr">
        <is>
          <t>鼻毛修剪器</t>
        </is>
      </c>
      <c r="F459" s="26" t="inlineStr">
        <is>
          <t>康佳/电动BMXJQ/橙色</t>
        </is>
      </c>
      <c r="G459" s="26" t="inlineStr">
        <is>
          <t>BMXJQ-17</t>
        </is>
      </c>
      <c r="H459" s="29" t="n">
        <v>12</v>
      </c>
      <c r="I459" s="25" t="inlineStr">
        <is>
          <t>¥10–15</t>
        </is>
      </c>
      <c r="J459" s="29" t="n">
        <v>10</v>
      </c>
      <c r="K459" s="29" t="n">
        <v>15</v>
      </c>
      <c r="L459" s="37" t="n">
        <v>2</v>
      </c>
      <c r="M459" s="28" t="n">
        <v>5.49</v>
      </c>
      <c r="N459" s="32" t="inlineStr">
        <is>
          <t>常规备选，放在长尾分类；用低价冲量，不单独投流</t>
        </is>
      </c>
    </row>
    <row r="460">
      <c r="A460" s="25" t="n">
        <v>458</v>
      </c>
      <c r="B460" s="25" t="inlineStr">
        <is>
          <t>康佳</t>
        </is>
      </c>
      <c r="C460" s="35" t="inlineStr">
        <is>
          <t>B</t>
        </is>
      </c>
      <c r="D460" s="26" t="inlineStr">
        <is>
          <t>鼻毛修剪器</t>
        </is>
      </c>
      <c r="E460" s="26" t="inlineStr">
        <is>
          <t>鼻毛修剪器</t>
        </is>
      </c>
      <c r="F460" s="26" t="inlineStr">
        <is>
          <t>康佳/BMXJQ/六代/黑色</t>
        </is>
      </c>
      <c r="G460" s="26" t="inlineStr">
        <is>
          <t>BMXJQ-18</t>
        </is>
      </c>
      <c r="H460" s="29" t="n">
        <v>12</v>
      </c>
      <c r="I460" s="25" t="inlineStr">
        <is>
          <t>¥10–15</t>
        </is>
      </c>
      <c r="J460" s="29" t="n">
        <v>10</v>
      </c>
      <c r="K460" s="29" t="n">
        <v>15</v>
      </c>
      <c r="L460" s="37" t="n">
        <v>2</v>
      </c>
      <c r="M460" s="28" t="n">
        <v>5.49</v>
      </c>
      <c r="N460" s="32" t="inlineStr">
        <is>
          <t>常规备选，放在长尾分类；用低价冲量，不单独投流</t>
        </is>
      </c>
    </row>
    <row r="461">
      <c r="A461" s="25" t="n">
        <v>459</v>
      </c>
      <c r="B461" s="25" t="inlineStr">
        <is>
          <t>康佳</t>
        </is>
      </c>
      <c r="C461" s="35" t="inlineStr">
        <is>
          <t>B</t>
        </is>
      </c>
      <c r="D461" s="26" t="inlineStr">
        <is>
          <t>鼻毛修剪器</t>
        </is>
      </c>
      <c r="E461" s="26" t="inlineStr">
        <is>
          <t>鼻毛修剪器</t>
        </is>
      </c>
      <c r="F461" s="26" t="inlineStr">
        <is>
          <t>康佳/BMXJQ/六代/橙色</t>
        </is>
      </c>
      <c r="G461" s="26" t="inlineStr">
        <is>
          <t>BMXJQ-19</t>
        </is>
      </c>
      <c r="H461" s="29" t="n">
        <v>12</v>
      </c>
      <c r="I461" s="25" t="inlineStr">
        <is>
          <t>¥10–15</t>
        </is>
      </c>
      <c r="J461" s="29" t="n">
        <v>10</v>
      </c>
      <c r="K461" s="29" t="n">
        <v>15</v>
      </c>
      <c r="L461" s="37" t="n">
        <v>2</v>
      </c>
      <c r="M461" s="28" t="n">
        <v>5.49</v>
      </c>
      <c r="N461" s="32" t="inlineStr">
        <is>
          <t>常规备选，放在长尾分类；用低价冲量，不单独投流</t>
        </is>
      </c>
    </row>
    <row r="462">
      <c r="A462" s="25" t="n">
        <v>460</v>
      </c>
      <c r="B462" s="25" t="inlineStr">
        <is>
          <t>康佳</t>
        </is>
      </c>
      <c r="C462" s="35" t="inlineStr">
        <is>
          <t>B</t>
        </is>
      </c>
      <c r="D462" s="26" t="inlineStr">
        <is>
          <t>鼻毛修剪器</t>
        </is>
      </c>
      <c r="E462" s="26" t="inlineStr">
        <is>
          <t>鼻毛修剪器</t>
        </is>
      </c>
      <c r="F462" s="26" t="inlineStr">
        <is>
          <t>康佳/BMXJQ/六代/蓝色</t>
        </is>
      </c>
      <c r="G462" s="26" t="inlineStr">
        <is>
          <t>BMXJQ-20</t>
        </is>
      </c>
      <c r="H462" s="29" t="n">
        <v>12</v>
      </c>
      <c r="I462" s="25" t="inlineStr">
        <is>
          <t>¥10–15</t>
        </is>
      </c>
      <c r="J462" s="29" t="n">
        <v>10</v>
      </c>
      <c r="K462" s="29" t="n">
        <v>15</v>
      </c>
      <c r="L462" s="37" t="n">
        <v>2</v>
      </c>
      <c r="M462" s="28" t="n">
        <v>5.49</v>
      </c>
      <c r="N462" s="32" t="inlineStr">
        <is>
          <t>常规备选，放在长尾分类；用低价冲量，不单独投流</t>
        </is>
      </c>
    </row>
    <row r="463">
      <c r="A463" s="25" t="n">
        <v>461</v>
      </c>
      <c r="B463" s="25" t="inlineStr">
        <is>
          <t>康佳</t>
        </is>
      </c>
      <c r="C463" s="35" t="inlineStr">
        <is>
          <t>B</t>
        </is>
      </c>
      <c r="D463" s="26" t="inlineStr">
        <is>
          <t>鼻毛修剪器</t>
        </is>
      </c>
      <c r="E463" s="26" t="inlineStr">
        <is>
          <t>鼻毛修剪器</t>
        </is>
      </c>
      <c r="F463" s="26" t="inlineStr">
        <is>
          <t>康佳/电动BMXJQ升级款/蓝色</t>
        </is>
      </c>
      <c r="G463" s="26" t="inlineStr">
        <is>
          <t>BMXJQ-27</t>
        </is>
      </c>
      <c r="H463" s="29" t="n">
        <v>12</v>
      </c>
      <c r="I463" s="25" t="inlineStr">
        <is>
          <t>¥10–15</t>
        </is>
      </c>
      <c r="J463" s="29" t="n">
        <v>10</v>
      </c>
      <c r="K463" s="29" t="n">
        <v>15</v>
      </c>
      <c r="L463" s="37" t="n">
        <v>2</v>
      </c>
      <c r="M463" s="28" t="n">
        <v>5.49</v>
      </c>
      <c r="N463" s="32" t="inlineStr">
        <is>
          <t>常规备选，放在长尾分类；用低价冲量，不单独投流</t>
        </is>
      </c>
    </row>
    <row r="464">
      <c r="A464" s="25" t="n">
        <v>462</v>
      </c>
      <c r="B464" s="25" t="inlineStr">
        <is>
          <t>康佳</t>
        </is>
      </c>
      <c r="C464" s="35" t="inlineStr">
        <is>
          <t>B</t>
        </is>
      </c>
      <c r="D464" s="26" t="inlineStr">
        <is>
          <t>鼻毛修剪器</t>
        </is>
      </c>
      <c r="E464" s="26" t="inlineStr">
        <is>
          <t>鼻毛修剪器</t>
        </is>
      </c>
      <c r="F464" s="26" t="inlineStr">
        <is>
          <t>康佳/电动BMXJQ升级款/黑色</t>
        </is>
      </c>
      <c r="G464" s="26" t="inlineStr">
        <is>
          <t>BMXJQ-28</t>
        </is>
      </c>
      <c r="H464" s="29" t="n">
        <v>12</v>
      </c>
      <c r="I464" s="25" t="inlineStr">
        <is>
          <t>¥10–15</t>
        </is>
      </c>
      <c r="J464" s="29" t="n">
        <v>10</v>
      </c>
      <c r="K464" s="29" t="n">
        <v>15</v>
      </c>
      <c r="L464" s="37" t="n">
        <v>2</v>
      </c>
      <c r="M464" s="28" t="n">
        <v>5.49</v>
      </c>
      <c r="N464" s="32" t="inlineStr">
        <is>
          <t>常规备选，放在长尾分类；用低价冲量，不单独投流</t>
        </is>
      </c>
    </row>
    <row r="465">
      <c r="A465" s="25" t="n">
        <v>463</v>
      </c>
      <c r="B465" s="25" t="inlineStr">
        <is>
          <t>康佳</t>
        </is>
      </c>
      <c r="C465" s="35" t="inlineStr">
        <is>
          <t>B</t>
        </is>
      </c>
      <c r="D465" s="26" t="inlineStr">
        <is>
          <t>鼻毛修剪器</t>
        </is>
      </c>
      <c r="E465" s="26" t="inlineStr">
        <is>
          <t>鼻毛修剪器</t>
        </is>
      </c>
      <c r="F465" s="26" t="inlineStr">
        <is>
          <t>康佳/电动BMXJQ升级款/橙色</t>
        </is>
      </c>
      <c r="G465" s="26" t="inlineStr">
        <is>
          <t>BMXJQ-32</t>
        </is>
      </c>
      <c r="H465" s="29" t="n">
        <v>12</v>
      </c>
      <c r="I465" s="25" t="inlineStr">
        <is>
          <t>¥10–15</t>
        </is>
      </c>
      <c r="J465" s="29" t="n">
        <v>10</v>
      </c>
      <c r="K465" s="29" t="n">
        <v>15</v>
      </c>
      <c r="L465" s="37" t="n">
        <v>2</v>
      </c>
      <c r="M465" s="28" t="n">
        <v>5.49</v>
      </c>
      <c r="N465" s="32" t="inlineStr">
        <is>
          <t>常规备选，放在长尾分类；用低价冲量，不单独投流</t>
        </is>
      </c>
    </row>
    <row r="466">
      <c r="A466" s="25" t="n">
        <v>464</v>
      </c>
      <c r="B466" s="25" t="inlineStr">
        <is>
          <t>康佳</t>
        </is>
      </c>
      <c r="C466" s="35" t="inlineStr">
        <is>
          <t>B</t>
        </is>
      </c>
      <c r="D466" s="26" t="inlineStr">
        <is>
          <t>鼻毛修剪器</t>
        </is>
      </c>
      <c r="E466" s="26" t="inlineStr">
        <is>
          <t>鼻毛修剪器</t>
        </is>
      </c>
      <c r="F466" s="26" t="inlineStr">
        <is>
          <t>康佳/BMXJQ/七代/黑色</t>
        </is>
      </c>
      <c r="G466" s="26" t="inlineStr">
        <is>
          <t>BMXJQ-31</t>
        </is>
      </c>
      <c r="H466" s="29" t="n">
        <v>12</v>
      </c>
      <c r="I466" s="25" t="inlineStr">
        <is>
          <t>¥10–15</t>
        </is>
      </c>
      <c r="J466" s="29" t="n">
        <v>10</v>
      </c>
      <c r="K466" s="29" t="n">
        <v>15</v>
      </c>
      <c r="L466" s="37" t="n">
        <v>2</v>
      </c>
      <c r="M466" s="28" t="n">
        <v>5.49</v>
      </c>
      <c r="N466" s="32" t="inlineStr">
        <is>
          <t>常规备选，放在长尾分类；用低价冲量，不单独投流</t>
        </is>
      </c>
    </row>
    <row r="467">
      <c r="A467" s="25" t="n">
        <v>465</v>
      </c>
      <c r="B467" s="25" t="inlineStr">
        <is>
          <t>康佳</t>
        </is>
      </c>
      <c r="C467" s="35" t="inlineStr">
        <is>
          <t>B</t>
        </is>
      </c>
      <c r="D467" s="26" t="inlineStr">
        <is>
          <t>鼻毛修剪器</t>
        </is>
      </c>
      <c r="E467" s="26" t="inlineStr">
        <is>
          <t>鼻毛修剪器</t>
        </is>
      </c>
      <c r="F467" s="26" t="inlineStr">
        <is>
          <t>康佳/BMXJQ/七代开放式刀头款/KBMO-0811-T</t>
        </is>
      </c>
      <c r="G467" s="26" t="inlineStr">
        <is>
          <t>BMXJQ-43</t>
        </is>
      </c>
      <c r="H467" s="29" t="n">
        <v>12</v>
      </c>
      <c r="I467" s="25" t="inlineStr">
        <is>
          <t>¥10–15</t>
        </is>
      </c>
      <c r="J467" s="29" t="n">
        <v>10</v>
      </c>
      <c r="K467" s="29" t="n">
        <v>15</v>
      </c>
      <c r="L467" s="37" t="n">
        <v>2</v>
      </c>
      <c r="M467" s="28" t="n">
        <v>5.49</v>
      </c>
      <c r="N467" s="32" t="inlineStr">
        <is>
          <t>常规备选，放在长尾分类；用低价冲量，不单独投流</t>
        </is>
      </c>
    </row>
    <row r="468">
      <c r="A468" s="25" t="n">
        <v>466</v>
      </c>
      <c r="B468" s="25" t="inlineStr">
        <is>
          <t>康佳</t>
        </is>
      </c>
      <c r="C468" s="35" t="inlineStr">
        <is>
          <t>B</t>
        </is>
      </c>
      <c r="D468" s="26" t="inlineStr">
        <is>
          <t>鼻毛修剪器</t>
        </is>
      </c>
      <c r="E468" s="26" t="inlineStr">
        <is>
          <t>鼻毛修剪器</t>
        </is>
      </c>
      <c r="F468" s="26" t="inlineStr">
        <is>
          <t>康佳/BMXJQ/八代/黑色</t>
        </is>
      </c>
      <c r="G468" s="26" t="inlineStr">
        <is>
          <t>BMXJQ-33</t>
        </is>
      </c>
      <c r="H468" s="29" t="n">
        <v>12</v>
      </c>
      <c r="I468" s="25" t="inlineStr">
        <is>
          <t>¥10–15</t>
        </is>
      </c>
      <c r="J468" s="29" t="n">
        <v>10</v>
      </c>
      <c r="K468" s="29" t="n">
        <v>15</v>
      </c>
      <c r="L468" s="37" t="n">
        <v>2</v>
      </c>
      <c r="M468" s="28" t="n">
        <v>5.49</v>
      </c>
      <c r="N468" s="32" t="inlineStr">
        <is>
          <t>常规备选，放在长尾分类；用低价冲量，不单独投流</t>
        </is>
      </c>
    </row>
    <row r="469">
      <c r="A469" s="25" t="n">
        <v>467</v>
      </c>
      <c r="B469" s="25" t="inlineStr">
        <is>
          <t>康佳</t>
        </is>
      </c>
      <c r="C469" s="35" t="inlineStr">
        <is>
          <t>B</t>
        </is>
      </c>
      <c r="D469" s="26" t="inlineStr">
        <is>
          <t>鼻毛修剪器</t>
        </is>
      </c>
      <c r="E469" s="26" t="inlineStr">
        <is>
          <t>鼻毛修剪器</t>
        </is>
      </c>
      <c r="F469" s="26" t="inlineStr">
        <is>
          <t>康佳/BMXJQ/八代/蓝色</t>
        </is>
      </c>
      <c r="G469" s="26" t="inlineStr">
        <is>
          <t>BMXJQ-34</t>
        </is>
      </c>
      <c r="H469" s="29" t="n">
        <v>12</v>
      </c>
      <c r="I469" s="25" t="inlineStr">
        <is>
          <t>¥10–15</t>
        </is>
      </c>
      <c r="J469" s="29" t="n">
        <v>10</v>
      </c>
      <c r="K469" s="29" t="n">
        <v>15</v>
      </c>
      <c r="L469" s="37" t="n">
        <v>2</v>
      </c>
      <c r="M469" s="28" t="n">
        <v>5.49</v>
      </c>
      <c r="N469" s="32" t="inlineStr">
        <is>
          <t>常规备选，放在长尾分类；用低价冲量，不单独投流</t>
        </is>
      </c>
    </row>
    <row r="470">
      <c r="A470" s="25" t="n">
        <v>468</v>
      </c>
      <c r="B470" s="25" t="inlineStr">
        <is>
          <t>康佳</t>
        </is>
      </c>
      <c r="C470" s="35" t="inlineStr">
        <is>
          <t>B</t>
        </is>
      </c>
      <c r="D470" s="26" t="inlineStr">
        <is>
          <t>鼻毛修剪器</t>
        </is>
      </c>
      <c r="E470" s="26" t="inlineStr">
        <is>
          <t>鼻毛修剪器</t>
        </is>
      </c>
      <c r="F470" s="26" t="inlineStr">
        <is>
          <t>康佳/BMXJQ/灰色/KBMQ-0818-T</t>
        </is>
      </c>
      <c r="G470" s="26" t="inlineStr">
        <is>
          <t>BMXJQ-40</t>
        </is>
      </c>
      <c r="H470" s="29" t="n">
        <v>12</v>
      </c>
      <c r="I470" s="25" t="inlineStr">
        <is>
          <t>¥10–15</t>
        </is>
      </c>
      <c r="J470" s="29" t="n">
        <v>10</v>
      </c>
      <c r="K470" s="29" t="n">
        <v>15</v>
      </c>
      <c r="L470" s="37" t="n">
        <v>2</v>
      </c>
      <c r="M470" s="28" t="n">
        <v>5.49</v>
      </c>
      <c r="N470" s="32" t="inlineStr">
        <is>
          <t>常规备选，放在长尾分类；用低价冲量，不单独投流</t>
        </is>
      </c>
    </row>
    <row r="471">
      <c r="A471" s="25" t="n">
        <v>469</v>
      </c>
      <c r="B471" s="25" t="inlineStr">
        <is>
          <t>康佳</t>
        </is>
      </c>
      <c r="C471" s="35" t="inlineStr">
        <is>
          <t>B</t>
        </is>
      </c>
      <c r="D471" s="26" t="inlineStr">
        <is>
          <t>鼻毛修剪器</t>
        </is>
      </c>
      <c r="E471" s="26" t="inlineStr">
        <is>
          <t>鼻毛修剪器</t>
        </is>
      </c>
      <c r="F471" s="26" t="inlineStr">
        <is>
          <t>康佳/BMXJQ/绿色/KBMQ-0818-T</t>
        </is>
      </c>
      <c r="G471" s="26" t="inlineStr">
        <is>
          <t>BMXJQ-41</t>
        </is>
      </c>
      <c r="H471" s="29" t="n">
        <v>12</v>
      </c>
      <c r="I471" s="25" t="inlineStr">
        <is>
          <t>¥10–15</t>
        </is>
      </c>
      <c r="J471" s="29" t="n">
        <v>10</v>
      </c>
      <c r="K471" s="29" t="n">
        <v>15</v>
      </c>
      <c r="L471" s="37" t="n">
        <v>2</v>
      </c>
      <c r="M471" s="28" t="n">
        <v>5.49</v>
      </c>
      <c r="N471" s="32" t="inlineStr">
        <is>
          <t>常规备选，放在长尾分类；用低价冲量，不单独投流</t>
        </is>
      </c>
    </row>
    <row r="472">
      <c r="A472" s="25" t="n">
        <v>470</v>
      </c>
      <c r="B472" s="25" t="inlineStr">
        <is>
          <t>康佳</t>
        </is>
      </c>
      <c r="C472" s="35" t="inlineStr">
        <is>
          <t>B</t>
        </is>
      </c>
      <c r="D472" s="26" t="inlineStr">
        <is>
          <t>鼻毛修剪器</t>
        </is>
      </c>
      <c r="E472" s="26" t="inlineStr">
        <is>
          <t>鼻毛修剪器</t>
        </is>
      </c>
      <c r="F472" s="26" t="inlineStr">
        <is>
          <t>康佳/BMXJQ/灰色/KBMQ50-0503</t>
        </is>
      </c>
      <c r="G472" s="26" t="inlineStr">
        <is>
          <t>BMXJQ-46</t>
        </is>
      </c>
      <c r="H472" s="29" t="n">
        <v>12</v>
      </c>
      <c r="I472" s="25" t="inlineStr">
        <is>
          <t>¥10–15</t>
        </is>
      </c>
      <c r="J472" s="29" t="n">
        <v>10</v>
      </c>
      <c r="K472" s="29" t="n">
        <v>15</v>
      </c>
      <c r="L472" s="37" t="n">
        <v>2</v>
      </c>
      <c r="M472" s="28" t="n">
        <v>5.49</v>
      </c>
      <c r="N472" s="32" t="inlineStr">
        <is>
          <t>常规备选，放在长尾分类；用低价冲量，不单独投流</t>
        </is>
      </c>
    </row>
    <row r="473">
      <c r="A473" s="25" t="n">
        <v>471</v>
      </c>
      <c r="B473" s="25" t="inlineStr">
        <is>
          <t>康佳</t>
        </is>
      </c>
      <c r="C473" s="35" t="inlineStr">
        <is>
          <t>B</t>
        </is>
      </c>
      <c r="D473" s="26" t="inlineStr">
        <is>
          <t>鼻毛修剪器</t>
        </is>
      </c>
      <c r="E473" s="26" t="inlineStr">
        <is>
          <t>鼻毛修剪器</t>
        </is>
      </c>
      <c r="F473" s="26" t="inlineStr">
        <is>
          <t>康佳/BMXJQ/灰色/KBMQ51-0506</t>
        </is>
      </c>
      <c r="G473" s="26" t="inlineStr">
        <is>
          <t>BMXJQ-47</t>
        </is>
      </c>
      <c r="H473" s="29" t="n">
        <v>12</v>
      </c>
      <c r="I473" s="25" t="inlineStr">
        <is>
          <t>¥10–15</t>
        </is>
      </c>
      <c r="J473" s="29" t="n">
        <v>10</v>
      </c>
      <c r="K473" s="29" t="n">
        <v>15</v>
      </c>
      <c r="L473" s="37" t="n">
        <v>2</v>
      </c>
      <c r="M473" s="28" t="n">
        <v>5.49</v>
      </c>
      <c r="N473" s="32" t="inlineStr">
        <is>
          <t>常规备选，放在长尾分类；用低价冲量，不单独投流</t>
        </is>
      </c>
    </row>
    <row r="474">
      <c r="A474" s="25" t="n">
        <v>472</v>
      </c>
      <c r="B474" s="25" t="inlineStr">
        <is>
          <t>康佳</t>
        </is>
      </c>
      <c r="C474" s="35" t="inlineStr">
        <is>
          <t>B</t>
        </is>
      </c>
      <c r="D474" s="26" t="inlineStr">
        <is>
          <t>鼻毛修剪器</t>
        </is>
      </c>
      <c r="E474" s="26" t="inlineStr">
        <is>
          <t>鼻毛修剪器</t>
        </is>
      </c>
      <c r="F474" s="26" t="inlineStr">
        <is>
          <t>康佳/BMXJQ/黄色/KBMQ51-0506</t>
        </is>
      </c>
      <c r="G474" s="26" t="inlineStr">
        <is>
          <t>BMXJQ-48</t>
        </is>
      </c>
      <c r="H474" s="29" t="n">
        <v>12</v>
      </c>
      <c r="I474" s="25" t="inlineStr">
        <is>
          <t>¥10–15</t>
        </is>
      </c>
      <c r="J474" s="29" t="n">
        <v>10</v>
      </c>
      <c r="K474" s="29" t="n">
        <v>15</v>
      </c>
      <c r="L474" s="37" t="n">
        <v>2</v>
      </c>
      <c r="M474" s="28" t="n">
        <v>5.49</v>
      </c>
      <c r="N474" s="32" t="inlineStr">
        <is>
          <t>常规备选，放在长尾分类；用低价冲量，不单独投流</t>
        </is>
      </c>
    </row>
    <row r="475">
      <c r="A475" s="25" t="n">
        <v>473</v>
      </c>
      <c r="B475" s="25" t="inlineStr">
        <is>
          <t>康佳</t>
        </is>
      </c>
      <c r="C475" s="35" t="inlineStr">
        <is>
          <t>B</t>
        </is>
      </c>
      <c r="D475" s="26" t="inlineStr">
        <is>
          <t>鼻毛修剪器</t>
        </is>
      </c>
      <c r="E475" s="26" t="inlineStr">
        <is>
          <t>鼻毛修剪器</t>
        </is>
      </c>
      <c r="F475" s="26" t="inlineStr">
        <is>
          <t>康佳/BMXJQ/米白色/KBMQ51-0506</t>
        </is>
      </c>
      <c r="G475" s="26" t="inlineStr">
        <is>
          <t>BMXJQ-49</t>
        </is>
      </c>
      <c r="H475" s="29" t="n">
        <v>12</v>
      </c>
      <c r="I475" s="25" t="inlineStr">
        <is>
          <t>¥10–15</t>
        </is>
      </c>
      <c r="J475" s="29" t="n">
        <v>10</v>
      </c>
      <c r="K475" s="29" t="n">
        <v>15</v>
      </c>
      <c r="L475" s="37" t="n">
        <v>2</v>
      </c>
      <c r="M475" s="28" t="n">
        <v>5.49</v>
      </c>
      <c r="N475" s="32" t="inlineStr">
        <is>
          <t>常规备选，放在长尾分类；用低价冲量，不单独投流</t>
        </is>
      </c>
    </row>
    <row r="476">
      <c r="A476" s="25" t="n">
        <v>474</v>
      </c>
      <c r="B476" s="25" t="inlineStr">
        <is>
          <t>康佳</t>
        </is>
      </c>
      <c r="C476" s="35" t="inlineStr">
        <is>
          <t>B</t>
        </is>
      </c>
      <c r="D476" s="26" t="inlineStr">
        <is>
          <t>鼻毛修剪器</t>
        </is>
      </c>
      <c r="E476" s="26" t="inlineStr">
        <is>
          <t>鼻毛修剪器</t>
        </is>
      </c>
      <c r="F476" s="26" t="inlineStr">
        <is>
          <t>康佳/BMXJQ/蓝色/KBMQ50-0503</t>
        </is>
      </c>
      <c r="G476" s="26" t="inlineStr">
        <is>
          <t>BMXJQ-50</t>
        </is>
      </c>
      <c r="H476" s="29" t="n">
        <v>12</v>
      </c>
      <c r="I476" s="25" t="inlineStr">
        <is>
          <t>¥10–15</t>
        </is>
      </c>
      <c r="J476" s="29" t="n">
        <v>10</v>
      </c>
      <c r="K476" s="29" t="n">
        <v>15</v>
      </c>
      <c r="L476" s="37" t="n">
        <v>2</v>
      </c>
      <c r="M476" s="28" t="n">
        <v>5.49</v>
      </c>
      <c r="N476" s="32" t="inlineStr">
        <is>
          <t>常规备选，放在长尾分类；用低价冲量，不单独投流</t>
        </is>
      </c>
    </row>
    <row r="477">
      <c r="A477" s="25" t="n">
        <v>475</v>
      </c>
      <c r="B477" s="25" t="inlineStr">
        <is>
          <t>康佳</t>
        </is>
      </c>
      <c r="C477" s="35" t="inlineStr">
        <is>
          <t>B</t>
        </is>
      </c>
      <c r="D477" s="26" t="inlineStr">
        <is>
          <t>鼻毛修剪器</t>
        </is>
      </c>
      <c r="E477" s="26" t="inlineStr">
        <is>
          <t>鼻毛修剪器</t>
        </is>
      </c>
      <c r="F477" s="26" t="inlineStr">
        <is>
          <t>康佳/BMXJQ/橙色/KBMQ50-0503</t>
        </is>
      </c>
      <c r="G477" s="26" t="inlineStr">
        <is>
          <t>BMXJQ-51</t>
        </is>
      </c>
      <c r="H477" s="29" t="n">
        <v>12</v>
      </c>
      <c r="I477" s="25" t="inlineStr">
        <is>
          <t>¥10–15</t>
        </is>
      </c>
      <c r="J477" s="29" t="n">
        <v>10</v>
      </c>
      <c r="K477" s="29" t="n">
        <v>15</v>
      </c>
      <c r="L477" s="37" t="n">
        <v>2</v>
      </c>
      <c r="M477" s="28" t="n">
        <v>5.49</v>
      </c>
      <c r="N477" s="32" t="inlineStr">
        <is>
          <t>常规备选，放在长尾分类；用低价冲量，不单独投流</t>
        </is>
      </c>
    </row>
    <row r="478">
      <c r="A478" s="25" t="n">
        <v>476</v>
      </c>
      <c r="B478" s="25" t="inlineStr">
        <is>
          <t>美悟</t>
        </is>
      </c>
      <c r="C478" s="35" t="inlineStr">
        <is>
          <t>B</t>
        </is>
      </c>
      <c r="D478" s="26" t="inlineStr">
        <is>
          <t>鼻毛修剪器</t>
        </is>
      </c>
      <c r="E478" s="26" t="inlineStr">
        <is>
          <t>美悟鼻毛修剪器</t>
        </is>
      </c>
      <c r="F478" s="26" t="inlineStr">
        <is>
          <t>美悟 / BMXJQ / 充电款</t>
        </is>
      </c>
      <c r="G478" s="26" t="inlineStr">
        <is>
          <t>BMXJQ-01</t>
        </is>
      </c>
      <c r="H478" s="29" t="n">
        <v>12</v>
      </c>
      <c r="I478" s="25" t="inlineStr">
        <is>
          <t>¥10–15</t>
        </is>
      </c>
      <c r="J478" s="29" t="n">
        <v>10</v>
      </c>
      <c r="K478" s="29" t="n">
        <v>15</v>
      </c>
      <c r="L478" s="37" t="n">
        <v>2</v>
      </c>
      <c r="M478" s="28" t="n">
        <v>5.49</v>
      </c>
      <c r="N478" s="32" t="inlineStr">
        <is>
          <t>常规备选，放在长尾分类；用低价冲量，不单独投流</t>
        </is>
      </c>
    </row>
    <row r="479">
      <c r="A479" s="25" t="n">
        <v>477</v>
      </c>
      <c r="B479" s="25" t="inlineStr">
        <is>
          <t>现代</t>
        </is>
      </c>
      <c r="C479" s="35" t="inlineStr">
        <is>
          <t>B</t>
        </is>
      </c>
      <c r="D479" s="26" t="inlineStr">
        <is>
          <t>鼻毛修剪器</t>
        </is>
      </c>
      <c r="E479" s="26" t="inlineStr">
        <is>
          <t>现代鼻毛修剪器</t>
        </is>
      </c>
      <c r="F479" s="26" t="inlineStr">
        <is>
          <t>现代/BMXJQ/蓝色</t>
        </is>
      </c>
      <c r="G479" s="26" t="inlineStr">
        <is>
          <t>BMXJQ-24</t>
        </is>
      </c>
      <c r="H479" s="29" t="n">
        <v>12</v>
      </c>
      <c r="I479" s="25" t="inlineStr">
        <is>
          <t>¥10–15</t>
        </is>
      </c>
      <c r="J479" s="29" t="n">
        <v>10</v>
      </c>
      <c r="K479" s="29" t="n">
        <v>15</v>
      </c>
      <c r="L479" s="37" t="n">
        <v>2</v>
      </c>
      <c r="M479" s="28" t="n">
        <v>5.49</v>
      </c>
      <c r="N479" s="32" t="inlineStr">
        <is>
          <t>常规备选，放在长尾分类；用低价冲量，不单独投流</t>
        </is>
      </c>
    </row>
    <row r="480">
      <c r="A480" s="25" t="n">
        <v>478</v>
      </c>
      <c r="B480" s="25" t="inlineStr">
        <is>
          <t>现代</t>
        </is>
      </c>
      <c r="C480" s="35" t="inlineStr">
        <is>
          <t>B</t>
        </is>
      </c>
      <c r="D480" s="26" t="inlineStr">
        <is>
          <t>鼻毛修剪器</t>
        </is>
      </c>
      <c r="E480" s="26" t="inlineStr">
        <is>
          <t>现代鼻毛修剪器</t>
        </is>
      </c>
      <c r="F480" s="26" t="inlineStr">
        <is>
          <t>现代/BMXJQ/黑色</t>
        </is>
      </c>
      <c r="G480" s="26" t="inlineStr">
        <is>
          <t>BMXJQ-25</t>
        </is>
      </c>
      <c r="H480" s="29" t="n">
        <v>12</v>
      </c>
      <c r="I480" s="25" t="inlineStr">
        <is>
          <t>¥10–15</t>
        </is>
      </c>
      <c r="J480" s="29" t="n">
        <v>10</v>
      </c>
      <c r="K480" s="29" t="n">
        <v>15</v>
      </c>
      <c r="L480" s="37" t="n">
        <v>2</v>
      </c>
      <c r="M480" s="28" t="n">
        <v>5.49</v>
      </c>
      <c r="N480" s="32" t="inlineStr">
        <is>
          <t>常规备选，放在长尾分类；用低价冲量，不单独投流</t>
        </is>
      </c>
    </row>
    <row r="481">
      <c r="A481" s="25" t="n">
        <v>479</v>
      </c>
      <c r="B481" s="25" t="inlineStr">
        <is>
          <t>现代</t>
        </is>
      </c>
      <c r="C481" s="35" t="inlineStr">
        <is>
          <t>B</t>
        </is>
      </c>
      <c r="D481" s="26" t="inlineStr">
        <is>
          <t>鼻毛修剪器</t>
        </is>
      </c>
      <c r="E481" s="26" t="inlineStr">
        <is>
          <t>现代鼻毛修剪器</t>
        </is>
      </c>
      <c r="F481" s="26" t="inlineStr">
        <is>
          <t>现代/BMXJQ/橙色</t>
        </is>
      </c>
      <c r="G481" s="26" t="inlineStr">
        <is>
          <t>BMXJQ-26</t>
        </is>
      </c>
      <c r="H481" s="29" t="n">
        <v>12</v>
      </c>
      <c r="I481" s="25" t="inlineStr">
        <is>
          <t>¥10–15</t>
        </is>
      </c>
      <c r="J481" s="29" t="n">
        <v>10</v>
      </c>
      <c r="K481" s="29" t="n">
        <v>15</v>
      </c>
      <c r="L481" s="37" t="n">
        <v>2</v>
      </c>
      <c r="M481" s="28" t="n">
        <v>5.49</v>
      </c>
      <c r="N481" s="32" t="inlineStr">
        <is>
          <t>常规备选，放在长尾分类；用低价冲量，不单独投流</t>
        </is>
      </c>
    </row>
    <row r="482">
      <c r="A482" s="25" t="n">
        <v>480</v>
      </c>
      <c r="B482" s="25" t="inlineStr">
        <is>
          <t>夏新</t>
        </is>
      </c>
      <c r="C482" s="35" t="inlineStr">
        <is>
          <t>B</t>
        </is>
      </c>
      <c r="D482" s="26" t="inlineStr">
        <is>
          <t>鼻毛修剪器</t>
        </is>
      </c>
      <c r="E482" s="26" t="inlineStr">
        <is>
          <t>鼻毛修剪器</t>
        </is>
      </c>
      <c r="F482" s="26" t="inlineStr">
        <is>
          <t>夏新/BMXJQ/黑色/SD-28</t>
        </is>
      </c>
      <c r="G482" s="26" t="inlineStr">
        <is>
          <t>BMXJQ-39</t>
        </is>
      </c>
      <c r="H482" s="29" t="n">
        <v>12</v>
      </c>
      <c r="I482" s="25" t="inlineStr">
        <is>
          <t>¥10–15</t>
        </is>
      </c>
      <c r="J482" s="29" t="n">
        <v>10</v>
      </c>
      <c r="K482" s="29" t="n">
        <v>15</v>
      </c>
      <c r="L482" s="37" t="n">
        <v>2</v>
      </c>
      <c r="M482" s="28" t="n">
        <v>5.49</v>
      </c>
      <c r="N482" s="32" t="inlineStr">
        <is>
          <t>常规备选，放在长尾分类；用低价冲量，不单独投流</t>
        </is>
      </c>
    </row>
    <row r="483">
      <c r="A483" s="25" t="n">
        <v>481</v>
      </c>
      <c r="B483" s="25" t="inlineStr">
        <is>
          <t>mericle</t>
        </is>
      </c>
      <c r="C483" s="35" t="inlineStr">
        <is>
          <t>B</t>
        </is>
      </c>
      <c r="D483" s="26" t="inlineStr">
        <is>
          <t>筋膜按摩贴</t>
        </is>
      </c>
      <c r="E483" s="26" t="inlineStr">
        <is>
          <t>mericle智能低频按摩贴</t>
        </is>
      </c>
      <c r="F483" s="26" t="inlineStr">
        <is>
          <t>Mericle/按摩贴/丁香紫</t>
        </is>
      </c>
      <c r="G483" s="26" t="inlineStr">
        <is>
          <t>Mericle/AMT/DXZ</t>
        </is>
      </c>
      <c r="H483" s="29" t="n">
        <v>16</v>
      </c>
      <c r="I483" s="25" t="inlineStr">
        <is>
          <t>¥14–17</t>
        </is>
      </c>
      <c r="J483" s="29" t="n">
        <v>13</v>
      </c>
      <c r="K483" s="29" t="n">
        <v>25</v>
      </c>
      <c r="L483" s="37" t="n">
        <v>12</v>
      </c>
      <c r="M483" s="28" t="n">
        <v>5.48</v>
      </c>
      <c r="N483" s="32" t="inlineStr">
        <is>
          <t>常规备选，放在长尾分类；用低价冲量，不单独投流</t>
        </is>
      </c>
    </row>
    <row r="484">
      <c r="A484" s="25" t="n">
        <v>482</v>
      </c>
      <c r="B484" s="25" t="inlineStr">
        <is>
          <t>mericle</t>
        </is>
      </c>
      <c r="C484" s="35" t="inlineStr">
        <is>
          <t>B</t>
        </is>
      </c>
      <c r="D484" s="26" t="inlineStr">
        <is>
          <t>筋膜按摩贴</t>
        </is>
      </c>
      <c r="E484" s="26" t="inlineStr">
        <is>
          <t>mericle智能低频按摩贴</t>
        </is>
      </c>
      <c r="F484" s="26" t="inlineStr">
        <is>
          <t>Mericle/按摩贴/海蔚蓝</t>
        </is>
      </c>
      <c r="G484" s="26" t="inlineStr">
        <is>
          <t>Mericle/AMT/HWL</t>
        </is>
      </c>
      <c r="H484" s="29" t="n">
        <v>16</v>
      </c>
      <c r="I484" s="25" t="inlineStr">
        <is>
          <t>¥14–17</t>
        </is>
      </c>
      <c r="J484" s="29" t="n">
        <v>13</v>
      </c>
      <c r="K484" s="29" t="n">
        <v>25</v>
      </c>
      <c r="L484" s="37" t="n">
        <v>12</v>
      </c>
      <c r="M484" s="28" t="n">
        <v>5.48</v>
      </c>
      <c r="N484" s="32" t="inlineStr">
        <is>
          <t>常规备选，放在长尾分类；用低价冲量，不单独投流</t>
        </is>
      </c>
    </row>
    <row r="485">
      <c r="A485" s="25" t="n">
        <v>483</v>
      </c>
      <c r="B485" s="25" t="inlineStr">
        <is>
          <t>mericle</t>
        </is>
      </c>
      <c r="C485" s="35" t="inlineStr">
        <is>
          <t>B</t>
        </is>
      </c>
      <c r="D485" s="26" t="inlineStr">
        <is>
          <t>筋膜按摩贴</t>
        </is>
      </c>
      <c r="E485" s="26" t="inlineStr">
        <is>
          <t>mericle智能低频按摩贴</t>
        </is>
      </c>
      <c r="F485" s="26" t="inlineStr">
        <is>
          <t>Mericle/按摩贴/森林绿</t>
        </is>
      </c>
      <c r="G485" s="26" t="inlineStr">
        <is>
          <t>Mericle/AMT/SLL</t>
        </is>
      </c>
      <c r="H485" s="29" t="n">
        <v>16</v>
      </c>
      <c r="I485" s="25" t="inlineStr">
        <is>
          <t>¥14–17</t>
        </is>
      </c>
      <c r="J485" s="29" t="n">
        <v>13</v>
      </c>
      <c r="K485" s="29" t="n">
        <v>25</v>
      </c>
      <c r="L485" s="37" t="n">
        <v>12</v>
      </c>
      <c r="M485" s="28" t="n">
        <v>5.48</v>
      </c>
      <c r="N485" s="32" t="inlineStr">
        <is>
          <t>常规备选，放在长尾分类；用低价冲量，不单独投流</t>
        </is>
      </c>
    </row>
    <row r="486">
      <c r="A486" s="25" t="n">
        <v>484</v>
      </c>
      <c r="B486" s="25" t="inlineStr">
        <is>
          <t>mericle</t>
        </is>
      </c>
      <c r="C486" s="35" t="inlineStr">
        <is>
          <t>B</t>
        </is>
      </c>
      <c r="D486" s="26" t="inlineStr">
        <is>
          <t>筋膜按摩贴</t>
        </is>
      </c>
      <c r="E486" s="26" t="inlineStr">
        <is>
          <t>mericle智能低频按摩贴片丁香紫</t>
        </is>
      </c>
      <c r="F486" s="26" t="inlineStr">
        <is>
          <t>Mericle/按摩贴贴片/丁香紫</t>
        </is>
      </c>
      <c r="G486" s="26" t="inlineStr">
        <is>
          <t>Mericle/AMTTP/DXZ</t>
        </is>
      </c>
      <c r="H486" s="29" t="n">
        <v>16</v>
      </c>
      <c r="I486" s="25" t="inlineStr">
        <is>
          <t>¥14–17</t>
        </is>
      </c>
      <c r="J486" s="29" t="n">
        <v>13</v>
      </c>
      <c r="K486" s="29" t="n">
        <v>25</v>
      </c>
      <c r="L486" s="37" t="n">
        <v>12</v>
      </c>
      <c r="M486" s="28" t="n">
        <v>5.48</v>
      </c>
      <c r="N486" s="32" t="inlineStr">
        <is>
          <t>常规备选，放在长尾分类；用低价冲量，不单独投流</t>
        </is>
      </c>
    </row>
    <row r="487">
      <c r="A487" s="25" t="n">
        <v>485</v>
      </c>
      <c r="B487" s="25" t="inlineStr">
        <is>
          <t>mericle</t>
        </is>
      </c>
      <c r="C487" s="35" t="inlineStr">
        <is>
          <t>B</t>
        </is>
      </c>
      <c r="D487" s="26" t="inlineStr">
        <is>
          <t>筋膜按摩贴</t>
        </is>
      </c>
      <c r="E487" s="26" t="inlineStr">
        <is>
          <t>mericle智能低频按摩贴片海蔚蓝</t>
        </is>
      </c>
      <c r="F487" s="26" t="inlineStr">
        <is>
          <t>Mericle/按摩贴贴片/海蔚蓝</t>
        </is>
      </c>
      <c r="G487" s="26" t="inlineStr">
        <is>
          <t>Mericle/AMTTP/HWL</t>
        </is>
      </c>
      <c r="H487" s="29" t="n">
        <v>16</v>
      </c>
      <c r="I487" s="25" t="inlineStr">
        <is>
          <t>¥14–17</t>
        </is>
      </c>
      <c r="J487" s="29" t="n">
        <v>13</v>
      </c>
      <c r="K487" s="29" t="n">
        <v>25</v>
      </c>
      <c r="L487" s="37" t="n">
        <v>12</v>
      </c>
      <c r="M487" s="28" t="n">
        <v>5.48</v>
      </c>
      <c r="N487" s="32" t="inlineStr">
        <is>
          <t>常规备选，放在长尾分类；用低价冲量，不单独投流</t>
        </is>
      </c>
    </row>
    <row r="488">
      <c r="A488" s="25" t="n">
        <v>486</v>
      </c>
      <c r="B488" s="25" t="inlineStr">
        <is>
          <t>mericle</t>
        </is>
      </c>
      <c r="C488" s="35" t="inlineStr">
        <is>
          <t>B</t>
        </is>
      </c>
      <c r="D488" s="26" t="inlineStr">
        <is>
          <t>筋膜按摩贴</t>
        </is>
      </c>
      <c r="E488" s="26" t="inlineStr">
        <is>
          <t>mericle智能低频按摩贴片森林绿</t>
        </is>
      </c>
      <c r="F488" s="26" t="inlineStr">
        <is>
          <t>Mericle/按摩贴贴片/森林绿</t>
        </is>
      </c>
      <c r="G488" s="26" t="inlineStr">
        <is>
          <t>Mericle/AMTTP/SLL</t>
        </is>
      </c>
      <c r="H488" s="29" t="n">
        <v>16</v>
      </c>
      <c r="I488" s="25" t="inlineStr">
        <is>
          <t>¥14–17</t>
        </is>
      </c>
      <c r="J488" s="29" t="n">
        <v>13</v>
      </c>
      <c r="K488" s="29" t="n">
        <v>25</v>
      </c>
      <c r="L488" s="37" t="n">
        <v>12</v>
      </c>
      <c r="M488" s="28" t="n">
        <v>5.48</v>
      </c>
      <c r="N488" s="32" t="inlineStr">
        <is>
          <t>常规备选，放在长尾分类；用低价冲量，不单独投流</t>
        </is>
      </c>
    </row>
    <row r="489">
      <c r="A489" s="25" t="n">
        <v>487</v>
      </c>
      <c r="B489" s="25" t="inlineStr">
        <is>
          <t>mericle</t>
        </is>
      </c>
      <c r="C489" s="35" t="inlineStr">
        <is>
          <t>B</t>
        </is>
      </c>
      <c r="D489" s="26" t="inlineStr">
        <is>
          <t>智能走罐按摩器</t>
        </is>
      </c>
      <c r="E489" s="26" t="inlineStr">
        <is>
          <t>砭石刮灸仪</t>
        </is>
      </c>
      <c r="F489" s="26" t="inlineStr">
        <is>
          <t>mericle/砭石刮灸仪/白色</t>
        </is>
      </c>
      <c r="G489" s="26" t="inlineStr">
        <is>
          <t>Mericle-GJY-B</t>
        </is>
      </c>
      <c r="H489" s="29" t="n">
        <v>24</v>
      </c>
      <c r="I489" s="25" t="inlineStr">
        <is>
          <t>¥18–29</t>
        </is>
      </c>
      <c r="J489" s="29" t="n">
        <v>17</v>
      </c>
      <c r="K489" s="29" t="n">
        <v>36</v>
      </c>
      <c r="L489" s="37" t="n">
        <v>4</v>
      </c>
      <c r="M489" s="28" t="n">
        <v>5.48</v>
      </c>
      <c r="N489" s="32" t="inlineStr">
        <is>
          <t>常规备选，放在长尾分类；用低价冲量，不单独投流</t>
        </is>
      </c>
    </row>
    <row r="490">
      <c r="A490" s="25" t="n">
        <v>488</v>
      </c>
      <c r="B490" s="25" t="inlineStr">
        <is>
          <t>mericle</t>
        </is>
      </c>
      <c r="C490" s="35" t="inlineStr">
        <is>
          <t>B</t>
        </is>
      </c>
      <c r="D490" s="26" t="inlineStr">
        <is>
          <t>智能走罐按摩器</t>
        </is>
      </c>
      <c r="E490" s="26" t="inlineStr">
        <is>
          <t>智能走罐按摩器</t>
        </is>
      </c>
      <c r="F490" s="26" t="inlineStr">
        <is>
          <t>Mericle/刮痧罐/白色</t>
        </is>
      </c>
      <c r="G490" s="26" t="inlineStr">
        <is>
          <t>Mericle-GSG-BS</t>
        </is>
      </c>
      <c r="H490" s="29" t="n">
        <v>24</v>
      </c>
      <c r="I490" s="25" t="inlineStr">
        <is>
          <t>¥18–29</t>
        </is>
      </c>
      <c r="J490" s="29" t="n">
        <v>17</v>
      </c>
      <c r="K490" s="29" t="n">
        <v>36</v>
      </c>
      <c r="L490" s="37" t="n">
        <v>4</v>
      </c>
      <c r="M490" s="28" t="n">
        <v>5.48</v>
      </c>
      <c r="N490" s="32" t="inlineStr">
        <is>
          <t>常规备选，放在长尾分类；用低价冲量，不单独投流</t>
        </is>
      </c>
    </row>
    <row r="491">
      <c r="A491" s="25" t="n">
        <v>489</v>
      </c>
      <c r="B491" s="25" t="inlineStr">
        <is>
          <t>mericle</t>
        </is>
      </c>
      <c r="C491" s="35" t="inlineStr">
        <is>
          <t>B</t>
        </is>
      </c>
      <c r="D491" s="26" t="inlineStr">
        <is>
          <t>筋膜按摩贴</t>
        </is>
      </c>
      <c r="E491" s="26" t="inlineStr">
        <is>
          <t>高频振动微电按摩仪</t>
        </is>
      </c>
      <c r="F491" s="26" t="inlineStr">
        <is>
          <t>Mericle/振动按摩仪/白色/2425</t>
        </is>
      </c>
      <c r="G491" s="26" t="inlineStr">
        <is>
          <t>Mericle-AMY-01</t>
        </is>
      </c>
      <c r="H491" s="29" t="n">
        <v>16</v>
      </c>
      <c r="I491" s="25" t="inlineStr">
        <is>
          <t>¥14–17</t>
        </is>
      </c>
      <c r="J491" s="29" t="n">
        <v>13</v>
      </c>
      <c r="K491" s="29" t="n">
        <v>25</v>
      </c>
      <c r="L491" s="37" t="n">
        <v>12</v>
      </c>
      <c r="M491" s="28" t="n">
        <v>5.48</v>
      </c>
      <c r="N491" s="32" t="inlineStr">
        <is>
          <t>常规备选，放在长尾分类；用低价冲量，不单独投流</t>
        </is>
      </c>
    </row>
    <row r="492">
      <c r="A492" s="25" t="n">
        <v>490</v>
      </c>
      <c r="B492" s="25" t="inlineStr">
        <is>
          <t>mericle</t>
        </is>
      </c>
      <c r="C492" s="35" t="inlineStr">
        <is>
          <t>B</t>
        </is>
      </c>
      <c r="D492" s="26" t="inlineStr">
        <is>
          <t>艾柱</t>
        </is>
      </c>
      <c r="E492" s="26" t="inlineStr">
        <is>
          <t>艾柱</t>
        </is>
      </c>
      <c r="F492" s="26" t="inlineStr">
        <is>
          <t>Mericle/艾柱/30粒</t>
        </is>
      </c>
      <c r="G492" s="26" t="inlineStr">
        <is>
          <t>AZ-02</t>
        </is>
      </c>
      <c r="H492" s="29" t="n">
        <v>9</v>
      </c>
      <c r="I492" s="25" t="inlineStr">
        <is>
          <t>¥8–10</t>
        </is>
      </c>
      <c r="J492" s="29" t="n">
        <v>8</v>
      </c>
      <c r="K492" s="29" t="n">
        <v>18</v>
      </c>
      <c r="L492" s="37" t="n">
        <v>7</v>
      </c>
      <c r="M492" s="28" t="n">
        <v>5.47</v>
      </c>
      <c r="N492" s="32" t="inlineStr">
        <is>
          <t>常规备选，放在长尾分类；用低价冲量，不单独投流</t>
        </is>
      </c>
    </row>
    <row r="493">
      <c r="A493" s="25" t="n">
        <v>491</v>
      </c>
      <c r="B493" s="25" t="inlineStr">
        <is>
          <t>美悟</t>
        </is>
      </c>
      <c r="C493" s="35" t="inlineStr">
        <is>
          <t>B</t>
        </is>
      </c>
      <c r="D493" s="26" t="inlineStr">
        <is>
          <t>芦荟胶</t>
        </is>
      </c>
      <c r="E493" s="26" t="inlineStr">
        <is>
          <t>芦荟胶</t>
        </is>
      </c>
      <c r="F493" s="26" t="inlineStr">
        <is>
          <t>美悟/保湿芦荟胶/30g</t>
        </is>
      </c>
      <c r="G493" s="26" t="inlineStr">
        <is>
          <t>MY-LHJ-01</t>
        </is>
      </c>
      <c r="H493" s="29" t="n">
        <v>11</v>
      </c>
      <c r="I493" s="25" t="inlineStr">
        <is>
          <t>¥7–15</t>
        </is>
      </c>
      <c r="J493" s="29" t="n">
        <v>7</v>
      </c>
      <c r="K493" s="29" t="n">
        <v>18</v>
      </c>
      <c r="L493" s="37" t="n">
        <v>16</v>
      </c>
      <c r="M493" s="28" t="n">
        <v>5.43</v>
      </c>
      <c r="N493" s="32" t="inlineStr">
        <is>
          <t>常规备选，放在长尾分类；用低价冲量，不单独投流</t>
        </is>
      </c>
    </row>
    <row r="494">
      <c r="A494" s="25" t="n">
        <v>492</v>
      </c>
      <c r="B494" s="25" t="inlineStr">
        <is>
          <t>mericle</t>
        </is>
      </c>
      <c r="C494" s="35" t="inlineStr">
        <is>
          <t>B</t>
        </is>
      </c>
      <c r="D494" s="26" t="inlineStr">
        <is>
          <t>除螨仪</t>
        </is>
      </c>
      <c r="E494" s="26" t="inlineStr">
        <is>
          <t>除螨仪</t>
        </is>
      </c>
      <c r="F494" s="26" t="inlineStr">
        <is>
          <t>Mericle/吸尘除螨仪</t>
        </is>
      </c>
      <c r="G494" s="26" t="inlineStr">
        <is>
          <t>Mericle-CMY-01</t>
        </is>
      </c>
      <c r="H494" s="29" t="n">
        <v>52</v>
      </c>
      <c r="I494" s="25" t="inlineStr">
        <is>
          <t>¥45–58</t>
        </is>
      </c>
      <c r="J494" s="29" t="n">
        <v>43</v>
      </c>
      <c r="K494" s="29" t="n">
        <v>75</v>
      </c>
      <c r="L494" s="37" t="n">
        <v>3</v>
      </c>
      <c r="M494" s="28" t="n">
        <v>5.42</v>
      </c>
      <c r="N494" s="32" t="inlineStr">
        <is>
          <t>常规备选，放在长尾分类；用低价冲量，不单独投流</t>
        </is>
      </c>
    </row>
    <row r="495">
      <c r="A495" s="25" t="n">
        <v>493</v>
      </c>
      <c r="B495" s="25" t="inlineStr">
        <is>
          <t>通货</t>
        </is>
      </c>
      <c r="C495" s="35" t="inlineStr">
        <is>
          <t>B</t>
        </is>
      </c>
      <c r="D495" s="26" t="inlineStr">
        <is>
          <t>小风扇</t>
        </is>
      </c>
      <c r="E495" s="26" t="inlineStr">
        <is>
          <t>小风扇</t>
        </is>
      </c>
      <c r="F495" s="26" t="inlineStr">
        <is>
          <t>台灯小风扇/绿色</t>
        </is>
      </c>
      <c r="G495" s="26" t="inlineStr">
        <is>
          <t>TDXFS-LS</t>
        </is>
      </c>
      <c r="H495" s="29" t="n">
        <v>7</v>
      </c>
      <c r="I495" s="25" t="inlineStr">
        <is>
          <t>¥6–8</t>
        </is>
      </c>
      <c r="J495" s="29" t="n">
        <v>6</v>
      </c>
      <c r="K495" s="29" t="n">
        <v>9</v>
      </c>
      <c r="L495" s="37" t="n">
        <v>10.5</v>
      </c>
      <c r="M495" s="28" t="n">
        <v>5.42</v>
      </c>
      <c r="N495" s="32" t="inlineStr">
        <is>
          <t>常规备选，放在长尾分类；用低价冲量，不单独投流</t>
        </is>
      </c>
    </row>
    <row r="496">
      <c r="A496" s="25" t="n">
        <v>494</v>
      </c>
      <c r="B496" s="25" t="inlineStr">
        <is>
          <t>通货</t>
        </is>
      </c>
      <c r="C496" s="35" t="inlineStr">
        <is>
          <t>B</t>
        </is>
      </c>
      <c r="D496" s="26" t="inlineStr">
        <is>
          <t>小风扇</t>
        </is>
      </c>
      <c r="E496" s="26" t="inlineStr">
        <is>
          <t>小风扇</t>
        </is>
      </c>
      <c r="F496" s="26" t="inlineStr">
        <is>
          <t>台灯小风扇/粉色</t>
        </is>
      </c>
      <c r="G496" s="26" t="inlineStr">
        <is>
          <t>TDXFS-FS</t>
        </is>
      </c>
      <c r="H496" s="29" t="n">
        <v>7</v>
      </c>
      <c r="I496" s="25" t="inlineStr">
        <is>
          <t>¥6–8</t>
        </is>
      </c>
      <c r="J496" s="29" t="n">
        <v>6</v>
      </c>
      <c r="K496" s="29" t="n">
        <v>9</v>
      </c>
      <c r="L496" s="37" t="n">
        <v>10.5</v>
      </c>
      <c r="M496" s="28" t="n">
        <v>5.42</v>
      </c>
      <c r="N496" s="32" t="inlineStr">
        <is>
          <t>常规备选，放在长尾分类；用低价冲量，不单独投流</t>
        </is>
      </c>
    </row>
    <row r="497">
      <c r="A497" s="25" t="n">
        <v>495</v>
      </c>
      <c r="B497" s="25" t="inlineStr">
        <is>
          <t>通货</t>
        </is>
      </c>
      <c r="C497" s="35" t="inlineStr">
        <is>
          <t>B</t>
        </is>
      </c>
      <c r="D497" s="26" t="inlineStr">
        <is>
          <t>小风扇</t>
        </is>
      </c>
      <c r="E497" s="26" t="inlineStr">
        <is>
          <t>小风扇</t>
        </is>
      </c>
      <c r="F497" s="26" t="inlineStr">
        <is>
          <t>台灯小风扇/白色</t>
        </is>
      </c>
      <c r="G497" s="26" t="inlineStr">
        <is>
          <t>TDXFS-BS</t>
        </is>
      </c>
      <c r="H497" s="29" t="n">
        <v>7</v>
      </c>
      <c r="I497" s="25" t="inlineStr">
        <is>
          <t>¥6–8</t>
        </is>
      </c>
      <c r="J497" s="29" t="n">
        <v>6</v>
      </c>
      <c r="K497" s="29" t="n">
        <v>9</v>
      </c>
      <c r="L497" s="37" t="n">
        <v>10.5</v>
      </c>
      <c r="M497" s="28" t="n">
        <v>5.42</v>
      </c>
      <c r="N497" s="32" t="inlineStr">
        <is>
          <t>常规备选，放在长尾分类；用低价冲量，不单独投流</t>
        </is>
      </c>
    </row>
    <row r="498">
      <c r="A498" s="25" t="n">
        <v>496</v>
      </c>
      <c r="B498" s="25" t="inlineStr">
        <is>
          <t>通货</t>
        </is>
      </c>
      <c r="C498" s="35" t="inlineStr">
        <is>
          <t>B</t>
        </is>
      </c>
      <c r="D498" s="26" t="inlineStr">
        <is>
          <t>除螨仪</t>
        </is>
      </c>
      <c r="E498" s="26" t="inlineStr">
        <is>
          <t>除螨仪</t>
        </is>
      </c>
      <c r="F498" s="26" t="inlineStr">
        <is>
          <t>除螨仪/YD-868</t>
        </is>
      </c>
      <c r="G498" s="26" t="inlineStr">
        <is>
          <t>CMY-02</t>
        </is>
      </c>
      <c r="H498" s="29" t="n">
        <v>52</v>
      </c>
      <c r="I498" s="25" t="inlineStr">
        <is>
          <t>¥45–58</t>
        </is>
      </c>
      <c r="J498" s="29" t="n">
        <v>43</v>
      </c>
      <c r="K498" s="29" t="n">
        <v>75</v>
      </c>
      <c r="L498" s="37" t="n">
        <v>3</v>
      </c>
      <c r="M498" s="28" t="n">
        <v>5.42</v>
      </c>
      <c r="N498" s="32" t="inlineStr">
        <is>
          <t>常规备选，放在长尾分类；用低价冲量，不单独投流</t>
        </is>
      </c>
    </row>
    <row r="499">
      <c r="A499" s="25" t="n">
        <v>497</v>
      </c>
      <c r="B499" s="25" t="inlineStr">
        <is>
          <t>通货</t>
        </is>
      </c>
      <c r="C499" s="35" t="inlineStr">
        <is>
          <t>B</t>
        </is>
      </c>
      <c r="D499" s="26" t="inlineStr">
        <is>
          <t>除螨仪</t>
        </is>
      </c>
      <c r="E499" s="26" t="inlineStr">
        <is>
          <t>除螨仪</t>
        </is>
      </c>
      <c r="F499" s="26" t="inlineStr">
        <is>
          <t>除螨仪/YD-868（3个滤芯）</t>
        </is>
      </c>
      <c r="G499" s="26" t="inlineStr">
        <is>
          <t>CMY-03</t>
        </is>
      </c>
      <c r="H499" s="29" t="n">
        <v>52</v>
      </c>
      <c r="I499" s="25" t="inlineStr">
        <is>
          <t>¥45–58</t>
        </is>
      </c>
      <c r="J499" s="29" t="n">
        <v>43</v>
      </c>
      <c r="K499" s="29" t="n">
        <v>75</v>
      </c>
      <c r="L499" s="37" t="n">
        <v>3</v>
      </c>
      <c r="M499" s="28" t="n">
        <v>5.42</v>
      </c>
      <c r="N499" s="32" t="inlineStr">
        <is>
          <t>常规备选，放在长尾分类；用低价冲量，不单独投流</t>
        </is>
      </c>
    </row>
    <row r="500">
      <c r="A500" s="25" t="n">
        <v>498</v>
      </c>
      <c r="B500" s="25" t="inlineStr">
        <is>
          <t>通货</t>
        </is>
      </c>
      <c r="C500" s="35" t="inlineStr">
        <is>
          <t>B</t>
        </is>
      </c>
      <c r="D500" s="26" t="inlineStr">
        <is>
          <t>迷你拖把</t>
        </is>
      </c>
      <c r="E500" s="26" t="inlineStr">
        <is>
          <t>迷你小拖把</t>
        </is>
      </c>
      <c r="F500" s="26" t="inlineStr">
        <is>
          <t>迷你拖把</t>
        </is>
      </c>
      <c r="G500" s="26" t="inlineStr">
        <is>
          <t>MNTB-01</t>
        </is>
      </c>
      <c r="H500" s="29" t="n">
        <v>7</v>
      </c>
      <c r="I500" s="25" t="inlineStr">
        <is>
          <t>¥5–9</t>
        </is>
      </c>
      <c r="J500" s="29" t="n">
        <v>5</v>
      </c>
      <c r="K500" s="29" t="n">
        <v>16</v>
      </c>
      <c r="L500" s="37" t="n">
        <v>7</v>
      </c>
      <c r="M500" s="28" t="n">
        <v>5.41</v>
      </c>
      <c r="N500" s="32" t="inlineStr">
        <is>
          <t>常规备选，放在长尾分类；用低价冲量，不单独投流</t>
        </is>
      </c>
    </row>
    <row r="501">
      <c r="A501" s="25" t="n">
        <v>499</v>
      </c>
      <c r="B501" s="25" t="inlineStr">
        <is>
          <t>mericle</t>
        </is>
      </c>
      <c r="C501" s="36" t="inlineStr">
        <is>
          <t>C</t>
        </is>
      </c>
      <c r="D501" s="26" t="inlineStr">
        <is>
          <t>电动清洁刷</t>
        </is>
      </c>
      <c r="E501" s="26" t="inlineStr">
        <is>
          <t>电动清洁刷</t>
        </is>
      </c>
      <c r="F501" s="26" t="inlineStr">
        <is>
          <t>Mericle/清洁刷/二代/白色</t>
        </is>
      </c>
      <c r="G501" s="26" t="inlineStr">
        <is>
          <t>Mericle-QJS-01</t>
        </is>
      </c>
      <c r="H501" s="29" t="n">
        <v>14</v>
      </c>
      <c r="I501" s="25" t="inlineStr">
        <is>
          <t>¥12–16</t>
        </is>
      </c>
      <c r="J501" s="29" t="n">
        <v>11</v>
      </c>
      <c r="K501" s="29" t="n">
        <v>25</v>
      </c>
      <c r="L501" s="37" t="n">
        <v>4</v>
      </c>
      <c r="M501" s="28" t="n">
        <v>5.35</v>
      </c>
      <c r="N501" s="32" t="inlineStr">
        <is>
          <t>谨慎试水：少量上架测款，只有当月出单才补货；重点写清「瑕疵/为什么低价」</t>
        </is>
      </c>
    </row>
    <row r="502">
      <c r="A502" s="25" t="n">
        <v>500</v>
      </c>
      <c r="B502" s="25" t="inlineStr">
        <is>
          <t>mericle</t>
        </is>
      </c>
      <c r="C502" s="36" t="inlineStr">
        <is>
          <t>C</t>
        </is>
      </c>
      <c r="D502" s="26" t="inlineStr">
        <is>
          <t>美颈仪</t>
        </is>
      </c>
      <c r="E502" s="26" t="inlineStr">
        <is>
          <t>mericle美颈仪</t>
        </is>
      </c>
      <c r="F502" s="26" t="inlineStr">
        <is>
          <t>M 美颈仪/白色</t>
        </is>
      </c>
      <c r="G502" s="26" t="inlineStr">
        <is>
          <t>Mericle-MJY-BS</t>
        </is>
      </c>
      <c r="H502" s="29" t="n">
        <v>188</v>
      </c>
      <c r="I502" s="25" t="inlineStr">
        <is>
          <t>¥187–189</t>
        </is>
      </c>
      <c r="J502" s="29" t="n">
        <v>178</v>
      </c>
      <c r="K502" s="29" t="n">
        <v>254</v>
      </c>
      <c r="L502" s="37" t="n">
        <v>1</v>
      </c>
      <c r="M502" s="28" t="n">
        <v>5.33</v>
      </c>
      <c r="N502" s="32" t="inlineStr">
        <is>
          <t>谨慎试水：少量上架测款，只有当月出单才补货；重点写清「瑕疵/为什么低价」</t>
        </is>
      </c>
    </row>
    <row r="503">
      <c r="A503" s="25" t="n">
        <v>501</v>
      </c>
      <c r="B503" s="25" t="inlineStr">
        <is>
          <t>mericle</t>
        </is>
      </c>
      <c r="C503" s="36" t="inlineStr">
        <is>
          <t>C</t>
        </is>
      </c>
      <c r="D503" s="26" t="inlineStr">
        <is>
          <t>电动剃毛器</t>
        </is>
      </c>
      <c r="E503" s="26" t="inlineStr">
        <is>
          <t>mericle剃毛器</t>
        </is>
      </c>
      <c r="F503" s="26" t="inlineStr">
        <is>
          <t>mericle/TMQ/绿色</t>
        </is>
      </c>
      <c r="G503" s="26" t="inlineStr">
        <is>
          <t>mericle-TMQ-LS</t>
        </is>
      </c>
      <c r="H503" s="29" t="n">
        <v>18</v>
      </c>
      <c r="I503" s="25" t="inlineStr">
        <is>
          <t>¥15–20</t>
        </is>
      </c>
      <c r="J503" s="29" t="n">
        <v>14</v>
      </c>
      <c r="K503" s="29" t="n">
        <v>27</v>
      </c>
      <c r="L503" s="37" t="n">
        <v>2</v>
      </c>
      <c r="M503" s="28" t="n">
        <v>5.33</v>
      </c>
      <c r="N503" s="32" t="inlineStr">
        <is>
          <t>谨慎试水：少量上架测款，只有当月出单才补货；重点写清「瑕疵/为什么低价」</t>
        </is>
      </c>
    </row>
    <row r="504">
      <c r="A504" s="25" t="n">
        <v>502</v>
      </c>
      <c r="B504" s="25" t="inlineStr">
        <is>
          <t>mericle</t>
        </is>
      </c>
      <c r="C504" s="36" t="inlineStr">
        <is>
          <t>C</t>
        </is>
      </c>
      <c r="D504" s="26" t="inlineStr">
        <is>
          <t>电动剃毛器</t>
        </is>
      </c>
      <c r="E504" s="26" t="inlineStr">
        <is>
          <t>mericle剃毛器</t>
        </is>
      </c>
      <c r="F504" s="26" t="inlineStr">
        <is>
          <t>mericle/TMQ/墨绿色</t>
        </is>
      </c>
      <c r="G504" s="26" t="inlineStr">
        <is>
          <t>mericle-TMQ-ML</t>
        </is>
      </c>
      <c r="H504" s="29" t="n">
        <v>18</v>
      </c>
      <c r="I504" s="25" t="inlineStr">
        <is>
          <t>¥15–20</t>
        </is>
      </c>
      <c r="J504" s="29" t="n">
        <v>14</v>
      </c>
      <c r="K504" s="29" t="n">
        <v>27</v>
      </c>
      <c r="L504" s="37" t="n">
        <v>2</v>
      </c>
      <c r="M504" s="28" t="n">
        <v>5.33</v>
      </c>
      <c r="N504" s="32" t="inlineStr">
        <is>
          <t>谨慎试水：少量上架测款，只有当月出单才补货；重点写清「瑕疵/为什么低价」</t>
        </is>
      </c>
    </row>
    <row r="505">
      <c r="A505" s="25" t="n">
        <v>503</v>
      </c>
      <c r="B505" s="25" t="inlineStr">
        <is>
          <t>mericle</t>
        </is>
      </c>
      <c r="C505" s="36" t="inlineStr">
        <is>
          <t>C</t>
        </is>
      </c>
      <c r="D505" s="26" t="inlineStr">
        <is>
          <t>电动剃毛器</t>
        </is>
      </c>
      <c r="E505" s="26" t="inlineStr">
        <is>
          <t>双头电动剃毛器</t>
        </is>
      </c>
      <c r="F505" s="26" t="inlineStr">
        <is>
          <t>Mericle/双头TMQ/粉色</t>
        </is>
      </c>
      <c r="G505" s="26" t="inlineStr">
        <is>
          <t>Mericle-TMQ-FS</t>
        </is>
      </c>
      <c r="H505" s="29" t="n">
        <v>18</v>
      </c>
      <c r="I505" s="25" t="inlineStr">
        <is>
          <t>¥15–20</t>
        </is>
      </c>
      <c r="J505" s="29" t="n">
        <v>14</v>
      </c>
      <c r="K505" s="29" t="n">
        <v>27</v>
      </c>
      <c r="L505" s="37" t="n">
        <v>2</v>
      </c>
      <c r="M505" s="28" t="n">
        <v>5.33</v>
      </c>
      <c r="N505" s="32" t="inlineStr">
        <is>
          <t>谨慎试水：少量上架测款，只有当月出单才补货；重点写清「瑕疵/为什么低价」</t>
        </is>
      </c>
    </row>
    <row r="506">
      <c r="A506" s="25" t="n">
        <v>504</v>
      </c>
      <c r="B506" s="25" t="inlineStr">
        <is>
          <t>mericle</t>
        </is>
      </c>
      <c r="C506" s="36" t="inlineStr">
        <is>
          <t>C</t>
        </is>
      </c>
      <c r="D506" s="26" t="inlineStr">
        <is>
          <t>电动剃毛器</t>
        </is>
      </c>
      <c r="E506" s="26" t="inlineStr">
        <is>
          <t>双头电动剃毛器</t>
        </is>
      </c>
      <c r="F506" s="26" t="inlineStr">
        <is>
          <t>Mericle/双头TMQ/紫色</t>
        </is>
      </c>
      <c r="G506" s="26" t="inlineStr">
        <is>
          <t>Mericle-TMQ-ZS</t>
        </is>
      </c>
      <c r="H506" s="29" t="n">
        <v>18</v>
      </c>
      <c r="I506" s="25" t="inlineStr">
        <is>
          <t>¥15–20</t>
        </is>
      </c>
      <c r="J506" s="29" t="n">
        <v>14</v>
      </c>
      <c r="K506" s="29" t="n">
        <v>27</v>
      </c>
      <c r="L506" s="37" t="n">
        <v>2</v>
      </c>
      <c r="M506" s="28" t="n">
        <v>5.33</v>
      </c>
      <c r="N506" s="32" t="inlineStr">
        <is>
          <t>谨慎试水：少量上架测款，只有当月出单才补货；重点写清「瑕疵/为什么低价」</t>
        </is>
      </c>
    </row>
    <row r="507">
      <c r="A507" s="25" t="n">
        <v>505</v>
      </c>
      <c r="B507" s="25" t="inlineStr">
        <is>
          <t>mericle</t>
        </is>
      </c>
      <c r="C507" s="36" t="inlineStr">
        <is>
          <t>C</t>
        </is>
      </c>
      <c r="D507" s="26" t="inlineStr">
        <is>
          <t>电动剃毛器</t>
        </is>
      </c>
      <c r="E507" s="26" t="inlineStr">
        <is>
          <t>女士剃毛器</t>
        </is>
      </c>
      <c r="F507" s="26" t="inlineStr">
        <is>
          <t>Mericle/女士TMQ/粉色/CT08</t>
        </is>
      </c>
      <c r="G507" s="26" t="inlineStr">
        <is>
          <t>TMQ-05</t>
        </is>
      </c>
      <c r="H507" s="29" t="n">
        <v>18</v>
      </c>
      <c r="I507" s="25" t="inlineStr">
        <is>
          <t>¥15–20</t>
        </is>
      </c>
      <c r="J507" s="29" t="n">
        <v>14</v>
      </c>
      <c r="K507" s="29" t="n">
        <v>27</v>
      </c>
      <c r="L507" s="37" t="n">
        <v>2</v>
      </c>
      <c r="M507" s="28" t="n">
        <v>5.33</v>
      </c>
      <c r="N507" s="32" t="inlineStr">
        <is>
          <t>谨慎试水：少量上架测款，只有当月出单才补货；重点写清「瑕疵/为什么低价」</t>
        </is>
      </c>
    </row>
    <row r="508">
      <c r="A508" s="25" t="n">
        <v>506</v>
      </c>
      <c r="B508" s="25" t="inlineStr">
        <is>
          <t>mericle</t>
        </is>
      </c>
      <c r="C508" s="36" t="inlineStr">
        <is>
          <t>C</t>
        </is>
      </c>
      <c r="D508" s="26" t="inlineStr">
        <is>
          <t>电动剃毛器</t>
        </is>
      </c>
      <c r="E508" s="26" t="inlineStr">
        <is>
          <t>女士剃毛器</t>
        </is>
      </c>
      <c r="F508" s="26" t="inlineStr">
        <is>
          <t>Mericle/女士TMQ/白色/CT08</t>
        </is>
      </c>
      <c r="G508" s="26" t="inlineStr">
        <is>
          <t>TMQ-04</t>
        </is>
      </c>
      <c r="H508" s="29" t="n">
        <v>18</v>
      </c>
      <c r="I508" s="25" t="inlineStr">
        <is>
          <t>¥15–20</t>
        </is>
      </c>
      <c r="J508" s="29" t="n">
        <v>14</v>
      </c>
      <c r="K508" s="29" t="n">
        <v>27</v>
      </c>
      <c r="L508" s="37" t="n">
        <v>2</v>
      </c>
      <c r="M508" s="28" t="n">
        <v>5.33</v>
      </c>
      <c r="N508" s="32" t="inlineStr">
        <is>
          <t>谨慎试水：少量上架测款，只有当月出单才补货；重点写清「瑕疵/为什么低价」</t>
        </is>
      </c>
    </row>
    <row r="509">
      <c r="A509" s="25" t="n">
        <v>507</v>
      </c>
      <c r="B509" s="25" t="inlineStr">
        <is>
          <t>mericle</t>
        </is>
      </c>
      <c r="C509" s="36" t="inlineStr">
        <is>
          <t>C</t>
        </is>
      </c>
      <c r="D509" s="26" t="inlineStr">
        <is>
          <t>电动剃毛器</t>
        </is>
      </c>
      <c r="E509" s="26" t="inlineStr">
        <is>
          <t>双头剃毛器</t>
        </is>
      </c>
      <c r="F509" s="26" t="inlineStr">
        <is>
          <t>Mericle/双头TMQ/粉色/CT18</t>
        </is>
      </c>
      <c r="G509" s="26" t="inlineStr">
        <is>
          <t>TMQ-06</t>
        </is>
      </c>
      <c r="H509" s="29" t="n">
        <v>18</v>
      </c>
      <c r="I509" s="25" t="inlineStr">
        <is>
          <t>¥15–20</t>
        </is>
      </c>
      <c r="J509" s="29" t="n">
        <v>14</v>
      </c>
      <c r="K509" s="29" t="n">
        <v>27</v>
      </c>
      <c r="L509" s="37" t="n">
        <v>2</v>
      </c>
      <c r="M509" s="28" t="n">
        <v>5.33</v>
      </c>
      <c r="N509" s="32" t="inlineStr">
        <is>
          <t>谨慎试水：少量上架测款，只有当月出单才补货；重点写清「瑕疵/为什么低价」</t>
        </is>
      </c>
    </row>
    <row r="510">
      <c r="A510" s="25" t="n">
        <v>508</v>
      </c>
      <c r="B510" s="25" t="inlineStr">
        <is>
          <t>mericle</t>
        </is>
      </c>
      <c r="C510" s="36" t="inlineStr">
        <is>
          <t>C</t>
        </is>
      </c>
      <c r="D510" s="26" t="inlineStr">
        <is>
          <t>电动剃毛器</t>
        </is>
      </c>
      <c r="E510" s="26" t="inlineStr">
        <is>
          <t>双头剃毛器</t>
        </is>
      </c>
      <c r="F510" s="26" t="inlineStr">
        <is>
          <t>Mericle/双头TMQ/绿色/CT18</t>
        </is>
      </c>
      <c r="G510" s="26" t="inlineStr">
        <is>
          <t>TMQ-07</t>
        </is>
      </c>
      <c r="H510" s="29" t="n">
        <v>18</v>
      </c>
      <c r="I510" s="25" t="inlineStr">
        <is>
          <t>¥15–20</t>
        </is>
      </c>
      <c r="J510" s="29" t="n">
        <v>14</v>
      </c>
      <c r="K510" s="29" t="n">
        <v>27</v>
      </c>
      <c r="L510" s="37" t="n">
        <v>2</v>
      </c>
      <c r="M510" s="28" t="n">
        <v>5.33</v>
      </c>
      <c r="N510" s="32" t="inlineStr">
        <is>
          <t>谨慎试水：少量上架测款，只有当月出单才补货；重点写清「瑕疵/为什么低价」</t>
        </is>
      </c>
    </row>
    <row r="511">
      <c r="A511" s="25" t="n">
        <v>509</v>
      </c>
      <c r="B511" s="25" t="inlineStr">
        <is>
          <t>mericle</t>
        </is>
      </c>
      <c r="C511" s="36" t="inlineStr">
        <is>
          <t>C</t>
        </is>
      </c>
      <c r="D511" s="26" t="inlineStr">
        <is>
          <t>电动剃毛器</t>
        </is>
      </c>
      <c r="E511" s="26" t="inlineStr">
        <is>
          <t>双头剃毛器</t>
        </is>
      </c>
      <c r="F511" s="26" t="inlineStr">
        <is>
          <t>Mericle/双头TMQ/紫色/CT18</t>
        </is>
      </c>
      <c r="G511" s="26" t="inlineStr">
        <is>
          <t>TMQ-08</t>
        </is>
      </c>
      <c r="H511" s="29" t="n">
        <v>18</v>
      </c>
      <c r="I511" s="25" t="inlineStr">
        <is>
          <t>¥15–20</t>
        </is>
      </c>
      <c r="J511" s="29" t="n">
        <v>14</v>
      </c>
      <c r="K511" s="29" t="n">
        <v>27</v>
      </c>
      <c r="L511" s="37" t="n">
        <v>2</v>
      </c>
      <c r="M511" s="28" t="n">
        <v>5.33</v>
      </c>
      <c r="N511" s="32" t="inlineStr">
        <is>
          <t>谨慎试水：少量上架测款，只有当月出单才补货；重点写清「瑕疵/为什么低价」</t>
        </is>
      </c>
    </row>
    <row r="512">
      <c r="A512" s="25" t="n">
        <v>510</v>
      </c>
      <c r="B512" s="25" t="inlineStr">
        <is>
          <t>mericle</t>
        </is>
      </c>
      <c r="C512" s="36" t="inlineStr">
        <is>
          <t>C</t>
        </is>
      </c>
      <c r="D512" s="26" t="inlineStr">
        <is>
          <t>电动剃毛器</t>
        </is>
      </c>
      <c r="E512" s="26" t="inlineStr">
        <is>
          <t>电动剃毛器</t>
        </is>
      </c>
      <c r="F512" s="26" t="inlineStr">
        <is>
          <t>Mericle/女士TMQ/粉色/CT19</t>
        </is>
      </c>
      <c r="G512" s="26" t="inlineStr">
        <is>
          <t>TMQ-09</t>
        </is>
      </c>
      <c r="H512" s="29" t="n">
        <v>18</v>
      </c>
      <c r="I512" s="25" t="inlineStr">
        <is>
          <t>¥15–20</t>
        </is>
      </c>
      <c r="J512" s="29" t="n">
        <v>14</v>
      </c>
      <c r="K512" s="29" t="n">
        <v>27</v>
      </c>
      <c r="L512" s="37" t="n">
        <v>2</v>
      </c>
      <c r="M512" s="28" t="n">
        <v>5.33</v>
      </c>
      <c r="N512" s="32" t="inlineStr">
        <is>
          <t>谨慎试水：少量上架测款，只有当月出单才补货；重点写清「瑕疵/为什么低价」</t>
        </is>
      </c>
    </row>
    <row r="513">
      <c r="A513" s="25" t="n">
        <v>511</v>
      </c>
      <c r="B513" s="25" t="inlineStr">
        <is>
          <t>mericle</t>
        </is>
      </c>
      <c r="C513" s="36" t="inlineStr">
        <is>
          <t>C</t>
        </is>
      </c>
      <c r="D513" s="26" t="inlineStr">
        <is>
          <t>电动剃毛器</t>
        </is>
      </c>
      <c r="E513" s="26" t="inlineStr">
        <is>
          <t>电动剃毛器</t>
        </is>
      </c>
      <c r="F513" s="26" t="inlineStr">
        <is>
          <t>Mericle/女士TMQ/蓝色/CT19</t>
        </is>
      </c>
      <c r="G513" s="26" t="inlineStr">
        <is>
          <t>TMQ-10</t>
        </is>
      </c>
      <c r="H513" s="29" t="n">
        <v>18</v>
      </c>
      <c r="I513" s="25" t="inlineStr">
        <is>
          <t>¥15–20</t>
        </is>
      </c>
      <c r="J513" s="29" t="n">
        <v>14</v>
      </c>
      <c r="K513" s="29" t="n">
        <v>27</v>
      </c>
      <c r="L513" s="37" t="n">
        <v>2</v>
      </c>
      <c r="M513" s="28" t="n">
        <v>5.33</v>
      </c>
      <c r="N513" s="32" t="inlineStr">
        <is>
          <t>谨慎试水：少量上架测款，只有当月出单才补货；重点写清「瑕疵/为什么低价」</t>
        </is>
      </c>
    </row>
    <row r="514">
      <c r="A514" s="25" t="n">
        <v>512</v>
      </c>
      <c r="B514" s="25" t="inlineStr">
        <is>
          <t>mericle</t>
        </is>
      </c>
      <c r="C514" s="36" t="inlineStr">
        <is>
          <t>C</t>
        </is>
      </c>
      <c r="D514" s="26" t="inlineStr">
        <is>
          <t>电动剃毛器</t>
        </is>
      </c>
      <c r="E514" s="26" t="inlineStr">
        <is>
          <t>剃毛器</t>
        </is>
      </c>
      <c r="F514" s="26" t="inlineStr">
        <is>
          <t>Mericle/数显TMQ/粉色/H2</t>
        </is>
      </c>
      <c r="G514" s="26" t="inlineStr">
        <is>
          <t>TMQ-14</t>
        </is>
      </c>
      <c r="H514" s="29" t="n">
        <v>18</v>
      </c>
      <c r="I514" s="25" t="inlineStr">
        <is>
          <t>¥15–20</t>
        </is>
      </c>
      <c r="J514" s="29" t="n">
        <v>14</v>
      </c>
      <c r="K514" s="29" t="n">
        <v>27</v>
      </c>
      <c r="L514" s="37" t="n">
        <v>2</v>
      </c>
      <c r="M514" s="28" t="n">
        <v>5.33</v>
      </c>
      <c r="N514" s="32" t="inlineStr">
        <is>
          <t>谨慎试水：少量上架测款，只有当月出单才补货；重点写清「瑕疵/为什么低价」</t>
        </is>
      </c>
    </row>
    <row r="515">
      <c r="A515" s="25" t="n">
        <v>513</v>
      </c>
      <c r="B515" s="25" t="inlineStr">
        <is>
          <t>mericle</t>
        </is>
      </c>
      <c r="C515" s="36" t="inlineStr">
        <is>
          <t>C</t>
        </is>
      </c>
      <c r="D515" s="26" t="inlineStr">
        <is>
          <t>电动剃毛器</t>
        </is>
      </c>
      <c r="E515" s="26" t="inlineStr">
        <is>
          <t>剃毛器</t>
        </is>
      </c>
      <c r="F515" s="26" t="inlineStr">
        <is>
          <t>Mericle/数显TMQ/紫色/H2</t>
        </is>
      </c>
      <c r="G515" s="26" t="inlineStr">
        <is>
          <t>TMQ-15</t>
        </is>
      </c>
      <c r="H515" s="29" t="n">
        <v>18</v>
      </c>
      <c r="I515" s="25" t="inlineStr">
        <is>
          <t>¥15–20</t>
        </is>
      </c>
      <c r="J515" s="29" t="n">
        <v>14</v>
      </c>
      <c r="K515" s="29" t="n">
        <v>27</v>
      </c>
      <c r="L515" s="37" t="n">
        <v>2</v>
      </c>
      <c r="M515" s="28" t="n">
        <v>5.33</v>
      </c>
      <c r="N515" s="32" t="inlineStr">
        <is>
          <t>谨慎试水：少量上架测款，只有当月出单才补货；重点写清「瑕疵/为什么低价」</t>
        </is>
      </c>
    </row>
    <row r="516">
      <c r="A516" s="25" t="n">
        <v>514</v>
      </c>
      <c r="B516" s="25" t="inlineStr">
        <is>
          <t>mericle</t>
        </is>
      </c>
      <c r="C516" s="36" t="inlineStr">
        <is>
          <t>C</t>
        </is>
      </c>
      <c r="D516" s="26" t="inlineStr">
        <is>
          <t>电动剃毛器</t>
        </is>
      </c>
      <c r="E516" s="26" t="inlineStr">
        <is>
          <t>剃毛器</t>
        </is>
      </c>
      <c r="F516" s="26" t="inlineStr">
        <is>
          <t>Mericle/数显TMQ/绿色/H2</t>
        </is>
      </c>
      <c r="G516" s="26" t="inlineStr">
        <is>
          <t>TMQ-16</t>
        </is>
      </c>
      <c r="H516" s="29" t="n">
        <v>18</v>
      </c>
      <c r="I516" s="25" t="inlineStr">
        <is>
          <t>¥15–20</t>
        </is>
      </c>
      <c r="J516" s="29" t="n">
        <v>14</v>
      </c>
      <c r="K516" s="29" t="n">
        <v>27</v>
      </c>
      <c r="L516" s="37" t="n">
        <v>2</v>
      </c>
      <c r="M516" s="28" t="n">
        <v>5.33</v>
      </c>
      <c r="N516" s="32" t="inlineStr">
        <is>
          <t>谨慎试水：少量上架测款，只有当月出单才补货；重点写清「瑕疵/为什么低价」</t>
        </is>
      </c>
    </row>
    <row r="517">
      <c r="A517" s="25" t="n">
        <v>515</v>
      </c>
      <c r="B517" s="25" t="inlineStr">
        <is>
          <t>mericle</t>
        </is>
      </c>
      <c r="C517" s="36" t="inlineStr">
        <is>
          <t>C</t>
        </is>
      </c>
      <c r="D517" s="26" t="inlineStr">
        <is>
          <t>电动剃毛器</t>
        </is>
      </c>
      <c r="E517" s="26" t="inlineStr">
        <is>
          <t>剃毛器</t>
        </is>
      </c>
      <c r="F517" s="26" t="inlineStr">
        <is>
          <t>Mericle/修眉刀/红色/TMQ-1333</t>
        </is>
      </c>
      <c r="G517" s="26" t="inlineStr">
        <is>
          <t>Mericle-XMD-04</t>
        </is>
      </c>
      <c r="H517" s="29" t="n">
        <v>18</v>
      </c>
      <c r="I517" s="25" t="inlineStr">
        <is>
          <t>¥15–20</t>
        </is>
      </c>
      <c r="J517" s="29" t="n">
        <v>14</v>
      </c>
      <c r="K517" s="29" t="n">
        <v>27</v>
      </c>
      <c r="L517" s="37" t="n">
        <v>2</v>
      </c>
      <c r="M517" s="28" t="n">
        <v>5.33</v>
      </c>
      <c r="N517" s="32" t="inlineStr">
        <is>
          <t>谨慎试水：少量上架测款，只有当月出单才补货；重点写清「瑕疵/为什么低价」</t>
        </is>
      </c>
    </row>
    <row r="518">
      <c r="A518" s="25" t="n">
        <v>516</v>
      </c>
      <c r="B518" s="25" t="inlineStr">
        <is>
          <t>mericle</t>
        </is>
      </c>
      <c r="C518" s="36" t="inlineStr">
        <is>
          <t>C</t>
        </is>
      </c>
      <c r="D518" s="26" t="inlineStr">
        <is>
          <t>美颈仪</t>
        </is>
      </c>
      <c r="E518" s="26" t="inlineStr">
        <is>
          <t>电动美颈仪</t>
        </is>
      </c>
      <c r="F518" s="26" t="inlineStr">
        <is>
          <t>Mericle/美颈仪/2032</t>
        </is>
      </c>
      <c r="G518" s="26" t="inlineStr">
        <is>
          <t>MJY-01</t>
        </is>
      </c>
      <c r="H518" s="29" t="n">
        <v>188</v>
      </c>
      <c r="I518" s="25" t="inlineStr">
        <is>
          <t>¥187–189</t>
        </is>
      </c>
      <c r="J518" s="29" t="n">
        <v>178</v>
      </c>
      <c r="K518" s="29" t="n">
        <v>254</v>
      </c>
      <c r="L518" s="37" t="n">
        <v>1</v>
      </c>
      <c r="M518" s="28" t="n">
        <v>5.33</v>
      </c>
      <c r="N518" s="32" t="inlineStr">
        <is>
          <t>谨慎试水：少量上架测款，只有当月出单才补货；重点写清「瑕疵/为什么低价」</t>
        </is>
      </c>
    </row>
    <row r="519">
      <c r="A519" s="25" t="n">
        <v>517</v>
      </c>
      <c r="B519" s="25" t="inlineStr">
        <is>
          <t>康佳</t>
        </is>
      </c>
      <c r="C519" s="36" t="inlineStr">
        <is>
          <t>C</t>
        </is>
      </c>
      <c r="D519" s="26" t="inlineStr">
        <is>
          <t>电动剃毛器</t>
        </is>
      </c>
      <c r="E519" s="26" t="inlineStr">
        <is>
          <t>剃毛器</t>
        </is>
      </c>
      <c r="F519" s="26" t="inlineStr">
        <is>
          <t>康佳/TMQ/蓝色</t>
        </is>
      </c>
      <c r="G519" s="26" t="inlineStr">
        <is>
          <t>KJ-TMQ-L</t>
        </is>
      </c>
      <c r="H519" s="29" t="n">
        <v>18</v>
      </c>
      <c r="I519" s="25" t="inlineStr">
        <is>
          <t>¥15–20</t>
        </is>
      </c>
      <c r="J519" s="29" t="n">
        <v>14</v>
      </c>
      <c r="K519" s="29" t="n">
        <v>27</v>
      </c>
      <c r="L519" s="37" t="n">
        <v>2</v>
      </c>
      <c r="M519" s="28" t="n">
        <v>5.33</v>
      </c>
      <c r="N519" s="32" t="inlineStr">
        <is>
          <t>谨慎试水：少量上架测款，只有当月出单才补货；重点写清「瑕疵/为什么低价」</t>
        </is>
      </c>
    </row>
    <row r="520">
      <c r="A520" s="25" t="n">
        <v>518</v>
      </c>
      <c r="B520" s="25" t="inlineStr">
        <is>
          <t>康佳</t>
        </is>
      </c>
      <c r="C520" s="36" t="inlineStr">
        <is>
          <t>C</t>
        </is>
      </c>
      <c r="D520" s="26" t="inlineStr">
        <is>
          <t>电动剃毛器</t>
        </is>
      </c>
      <c r="E520" s="26" t="inlineStr">
        <is>
          <t>剃毛器</t>
        </is>
      </c>
      <c r="F520" s="26" t="inlineStr">
        <is>
          <t>康佳/TMQ/粉色</t>
        </is>
      </c>
      <c r="G520" s="26" t="inlineStr">
        <is>
          <t>KJ-TMQ-F</t>
        </is>
      </c>
      <c r="H520" s="29" t="n">
        <v>18</v>
      </c>
      <c r="I520" s="25" t="inlineStr">
        <is>
          <t>¥15–20</t>
        </is>
      </c>
      <c r="J520" s="29" t="n">
        <v>14</v>
      </c>
      <c r="K520" s="29" t="n">
        <v>27</v>
      </c>
      <c r="L520" s="37" t="n">
        <v>2</v>
      </c>
      <c r="M520" s="28" t="n">
        <v>5.33</v>
      </c>
      <c r="N520" s="32" t="inlineStr">
        <is>
          <t>谨慎试水：少量上架测款，只有当月出单才补货；重点写清「瑕疵/为什么低价」</t>
        </is>
      </c>
    </row>
    <row r="521">
      <c r="A521" s="25" t="n">
        <v>519</v>
      </c>
      <c r="B521" s="25" t="inlineStr">
        <is>
          <t>康佳</t>
        </is>
      </c>
      <c r="C521" s="36" t="inlineStr">
        <is>
          <t>C</t>
        </is>
      </c>
      <c r="D521" s="26" t="inlineStr">
        <is>
          <t>电动剃毛器</t>
        </is>
      </c>
      <c r="E521" s="26" t="inlineStr">
        <is>
          <t>剃毛器</t>
        </is>
      </c>
      <c r="F521" s="26" t="inlineStr">
        <is>
          <t>康佳/小冰砖TMQ/绿色</t>
        </is>
      </c>
      <c r="G521" s="26" t="inlineStr">
        <is>
          <t>KJ-XBZTMQ-L</t>
        </is>
      </c>
      <c r="H521" s="29" t="n">
        <v>18</v>
      </c>
      <c r="I521" s="25" t="inlineStr">
        <is>
          <t>¥15–20</t>
        </is>
      </c>
      <c r="J521" s="29" t="n">
        <v>14</v>
      </c>
      <c r="K521" s="29" t="n">
        <v>27</v>
      </c>
      <c r="L521" s="37" t="n">
        <v>2</v>
      </c>
      <c r="M521" s="28" t="n">
        <v>5.33</v>
      </c>
      <c r="N521" s="32" t="inlineStr">
        <is>
          <t>谨慎试水：少量上架测款，只有当月出单才补货；重点写清「瑕疵/为什么低价」</t>
        </is>
      </c>
    </row>
    <row r="522">
      <c r="A522" s="25" t="n">
        <v>520</v>
      </c>
      <c r="B522" s="25" t="inlineStr">
        <is>
          <t>康佳</t>
        </is>
      </c>
      <c r="C522" s="36" t="inlineStr">
        <is>
          <t>C</t>
        </is>
      </c>
      <c r="D522" s="26" t="inlineStr">
        <is>
          <t>电动剃毛器</t>
        </is>
      </c>
      <c r="E522" s="26" t="inlineStr">
        <is>
          <t>剃毛器</t>
        </is>
      </c>
      <c r="F522" s="26" t="inlineStr">
        <is>
          <t>康佳/小冰砖TMQ/橙色</t>
        </is>
      </c>
      <c r="G522" s="26" t="inlineStr">
        <is>
          <t>KJ-XBZTMQ-C</t>
        </is>
      </c>
      <c r="H522" s="29" t="n">
        <v>18</v>
      </c>
      <c r="I522" s="25" t="inlineStr">
        <is>
          <t>¥15–20</t>
        </is>
      </c>
      <c r="J522" s="29" t="n">
        <v>14</v>
      </c>
      <c r="K522" s="29" t="n">
        <v>27</v>
      </c>
      <c r="L522" s="37" t="n">
        <v>2</v>
      </c>
      <c r="M522" s="28" t="n">
        <v>5.33</v>
      </c>
      <c r="N522" s="32" t="inlineStr">
        <is>
          <t>谨慎试水：少量上架测款，只有当月出单才补货；重点写清「瑕疵/为什么低价」</t>
        </is>
      </c>
    </row>
    <row r="523">
      <c r="A523" s="25" t="n">
        <v>521</v>
      </c>
      <c r="B523" s="25" t="inlineStr">
        <is>
          <t>康佳</t>
        </is>
      </c>
      <c r="C523" s="36" t="inlineStr">
        <is>
          <t>C</t>
        </is>
      </c>
      <c r="D523" s="26" t="inlineStr">
        <is>
          <t>美颈仪</t>
        </is>
      </c>
      <c r="E523" s="26" t="inlineStr">
        <is>
          <t>按摩器(颈部按摩器)</t>
        </is>
      </c>
      <c r="F523" s="26" t="inlineStr">
        <is>
          <t>康佳/按摩枕</t>
        </is>
      </c>
      <c r="G523" s="26" t="inlineStr">
        <is>
          <t>KJ-AMZ-01</t>
        </is>
      </c>
      <c r="H523" s="29" t="n">
        <v>188</v>
      </c>
      <c r="I523" s="25" t="inlineStr">
        <is>
          <t>¥187–189</t>
        </is>
      </c>
      <c r="J523" s="29" t="n">
        <v>178</v>
      </c>
      <c r="K523" s="29" t="n">
        <v>254</v>
      </c>
      <c r="L523" s="37" t="n">
        <v>1</v>
      </c>
      <c r="M523" s="28" t="n">
        <v>5.33</v>
      </c>
      <c r="N523" s="32" t="inlineStr">
        <is>
          <t>谨慎试水：少量上架测款，只有当月出单才补货；重点写清「瑕疵/为什么低价」</t>
        </is>
      </c>
    </row>
    <row r="524">
      <c r="A524" s="25" t="n">
        <v>522</v>
      </c>
      <c r="B524" s="25" t="inlineStr">
        <is>
          <t>康佳</t>
        </is>
      </c>
      <c r="C524" s="36" t="inlineStr">
        <is>
          <t>C</t>
        </is>
      </c>
      <c r="D524" s="26" t="inlineStr">
        <is>
          <t>电动剃毛器</t>
        </is>
      </c>
      <c r="E524" s="26" t="inlineStr">
        <is>
          <t>剃毛器</t>
        </is>
      </c>
      <c r="F524" s="26" t="inlineStr">
        <is>
          <t>康佳/修眉刀/粉色</t>
        </is>
      </c>
      <c r="G524" s="26" t="inlineStr">
        <is>
          <t>KJ-XMD-F</t>
        </is>
      </c>
      <c r="H524" s="29" t="n">
        <v>18</v>
      </c>
      <c r="I524" s="25" t="inlineStr">
        <is>
          <t>¥15–20</t>
        </is>
      </c>
      <c r="J524" s="29" t="n">
        <v>14</v>
      </c>
      <c r="K524" s="29" t="n">
        <v>27</v>
      </c>
      <c r="L524" s="37" t="n">
        <v>2</v>
      </c>
      <c r="M524" s="28" t="n">
        <v>5.33</v>
      </c>
      <c r="N524" s="32" t="inlineStr">
        <is>
          <t>谨慎试水：少量上架测款，只有当月出单才补货；重点写清「瑕疵/为什么低价」</t>
        </is>
      </c>
    </row>
    <row r="525">
      <c r="A525" s="25" t="n">
        <v>523</v>
      </c>
      <c r="B525" s="25" t="inlineStr">
        <is>
          <t>康佳</t>
        </is>
      </c>
      <c r="C525" s="36" t="inlineStr">
        <is>
          <t>C</t>
        </is>
      </c>
      <c r="D525" s="26" t="inlineStr">
        <is>
          <t>电动剃毛器</t>
        </is>
      </c>
      <c r="E525" s="26" t="inlineStr">
        <is>
          <t>剃毛器</t>
        </is>
      </c>
      <c r="F525" s="26" t="inlineStr">
        <is>
          <t>康佳/修眉刀/紫色</t>
        </is>
      </c>
      <c r="G525" s="26" t="inlineStr">
        <is>
          <t>KJ-XMD-Z</t>
        </is>
      </c>
      <c r="H525" s="29" t="n">
        <v>18</v>
      </c>
      <c r="I525" s="25" t="inlineStr">
        <is>
          <t>¥15–20</t>
        </is>
      </c>
      <c r="J525" s="29" t="n">
        <v>14</v>
      </c>
      <c r="K525" s="29" t="n">
        <v>27</v>
      </c>
      <c r="L525" s="37" t="n">
        <v>2</v>
      </c>
      <c r="M525" s="28" t="n">
        <v>5.33</v>
      </c>
      <c r="N525" s="32" t="inlineStr">
        <is>
          <t>谨慎试水：少量上架测款，只有当月出单才补货；重点写清「瑕疵/为什么低价」</t>
        </is>
      </c>
    </row>
    <row r="526">
      <c r="A526" s="25" t="n">
        <v>524</v>
      </c>
      <c r="B526" s="25" t="inlineStr">
        <is>
          <t>康佳</t>
        </is>
      </c>
      <c r="C526" s="36" t="inlineStr">
        <is>
          <t>C</t>
        </is>
      </c>
      <c r="D526" s="26" t="inlineStr">
        <is>
          <t>电动剃毛器</t>
        </is>
      </c>
      <c r="E526" s="26" t="inlineStr">
        <is>
          <t>剃毛器</t>
        </is>
      </c>
      <c r="F526" s="26" t="inlineStr">
        <is>
          <t>康佳/数显双头TMQ/粉色</t>
        </is>
      </c>
      <c r="G526" s="26" t="inlineStr">
        <is>
          <t>TMQ-01</t>
        </is>
      </c>
      <c r="H526" s="29" t="n">
        <v>18</v>
      </c>
      <c r="I526" s="25" t="inlineStr">
        <is>
          <t>¥15–20</t>
        </is>
      </c>
      <c r="J526" s="29" t="n">
        <v>14</v>
      </c>
      <c r="K526" s="29" t="n">
        <v>27</v>
      </c>
      <c r="L526" s="37" t="n">
        <v>2</v>
      </c>
      <c r="M526" s="28" t="n">
        <v>5.33</v>
      </c>
      <c r="N526" s="32" t="inlineStr">
        <is>
          <t>谨慎试水：少量上架测款，只有当月出单才补货；重点写清「瑕疵/为什么低价」</t>
        </is>
      </c>
    </row>
    <row r="527">
      <c r="A527" s="25" t="n">
        <v>525</v>
      </c>
      <c r="B527" s="25" t="inlineStr">
        <is>
          <t>康佳</t>
        </is>
      </c>
      <c r="C527" s="36" t="inlineStr">
        <is>
          <t>C</t>
        </is>
      </c>
      <c r="D527" s="26" t="inlineStr">
        <is>
          <t>电动剃毛器</t>
        </is>
      </c>
      <c r="E527" s="26" t="inlineStr">
        <is>
          <t>剃毛器</t>
        </is>
      </c>
      <c r="F527" s="26" t="inlineStr">
        <is>
          <t>康佳/数显双头TMQ/紫色</t>
        </is>
      </c>
      <c r="G527" s="26" t="inlineStr">
        <is>
          <t>TMQ-02</t>
        </is>
      </c>
      <c r="H527" s="29" t="n">
        <v>18</v>
      </c>
      <c r="I527" s="25" t="inlineStr">
        <is>
          <t>¥15–20</t>
        </is>
      </c>
      <c r="J527" s="29" t="n">
        <v>14</v>
      </c>
      <c r="K527" s="29" t="n">
        <v>27</v>
      </c>
      <c r="L527" s="37" t="n">
        <v>2</v>
      </c>
      <c r="M527" s="28" t="n">
        <v>5.33</v>
      </c>
      <c r="N527" s="32" t="inlineStr">
        <is>
          <t>谨慎试水：少量上架测款，只有当月出单才补货；重点写清「瑕疵/为什么低价」</t>
        </is>
      </c>
    </row>
    <row r="528">
      <c r="A528" s="25" t="n">
        <v>526</v>
      </c>
      <c r="B528" s="25" t="inlineStr">
        <is>
          <t>康佳</t>
        </is>
      </c>
      <c r="C528" s="36" t="inlineStr">
        <is>
          <t>C</t>
        </is>
      </c>
      <c r="D528" s="26" t="inlineStr">
        <is>
          <t>电动剃毛器</t>
        </is>
      </c>
      <c r="E528" s="26" t="inlineStr">
        <is>
          <t>剃毛器</t>
        </is>
      </c>
      <c r="F528" s="26" t="inlineStr">
        <is>
          <t>康佳/数显双头TMQ/绿色</t>
        </is>
      </c>
      <c r="G528" s="26" t="inlineStr">
        <is>
          <t>TMQ-03</t>
        </is>
      </c>
      <c r="H528" s="29" t="n">
        <v>18</v>
      </c>
      <c r="I528" s="25" t="inlineStr">
        <is>
          <t>¥15–20</t>
        </is>
      </c>
      <c r="J528" s="29" t="n">
        <v>14</v>
      </c>
      <c r="K528" s="29" t="n">
        <v>27</v>
      </c>
      <c r="L528" s="37" t="n">
        <v>2</v>
      </c>
      <c r="M528" s="28" t="n">
        <v>5.33</v>
      </c>
      <c r="N528" s="32" t="inlineStr">
        <is>
          <t>谨慎试水：少量上架测款，只有当月出单才补货；重点写清「瑕疵/为什么低价」</t>
        </is>
      </c>
    </row>
    <row r="529">
      <c r="A529" s="25" t="n">
        <v>527</v>
      </c>
      <c r="B529" s="25" t="inlineStr">
        <is>
          <t>康佳</t>
        </is>
      </c>
      <c r="C529" s="36" t="inlineStr">
        <is>
          <t>C</t>
        </is>
      </c>
      <c r="D529" s="26" t="inlineStr">
        <is>
          <t>电动剃毛器</t>
        </is>
      </c>
      <c r="E529" s="26" t="inlineStr">
        <is>
          <t>剃毛器</t>
        </is>
      </c>
      <c r="F529" s="26" t="inlineStr">
        <is>
          <t>康佳/修眉刀/红色/KTMO-1333-T</t>
        </is>
      </c>
      <c r="G529" s="26" t="inlineStr">
        <is>
          <t>KJ-XMD-01</t>
        </is>
      </c>
      <c r="H529" s="29" t="n">
        <v>18</v>
      </c>
      <c r="I529" s="25" t="inlineStr">
        <is>
          <t>¥15–20</t>
        </is>
      </c>
      <c r="J529" s="29" t="n">
        <v>14</v>
      </c>
      <c r="K529" s="29" t="n">
        <v>27</v>
      </c>
      <c r="L529" s="37" t="n">
        <v>2</v>
      </c>
      <c r="M529" s="28" t="n">
        <v>5.33</v>
      </c>
      <c r="N529" s="32" t="inlineStr">
        <is>
          <t>谨慎试水：少量上架测款，只有当月出单才补货；重点写清「瑕疵/为什么低价」</t>
        </is>
      </c>
    </row>
    <row r="530">
      <c r="A530" s="25" t="n">
        <v>528</v>
      </c>
      <c r="B530" s="25" t="inlineStr">
        <is>
          <t>康佳</t>
        </is>
      </c>
      <c r="C530" s="36" t="inlineStr">
        <is>
          <t>C</t>
        </is>
      </c>
      <c r="D530" s="26" t="inlineStr">
        <is>
          <t>电动剃毛器</t>
        </is>
      </c>
      <c r="E530" s="26" t="inlineStr">
        <is>
          <t>剃毛器</t>
        </is>
      </c>
      <c r="F530" s="26" t="inlineStr">
        <is>
          <t>康佳/修眉刀/紫色/KTMO-1333-T</t>
        </is>
      </c>
      <c r="G530" s="26" t="inlineStr">
        <is>
          <t>KJ-XMD-02</t>
        </is>
      </c>
      <c r="H530" s="29" t="n">
        <v>18</v>
      </c>
      <c r="I530" s="25" t="inlineStr">
        <is>
          <t>¥15–20</t>
        </is>
      </c>
      <c r="J530" s="29" t="n">
        <v>14</v>
      </c>
      <c r="K530" s="29" t="n">
        <v>27</v>
      </c>
      <c r="L530" s="37" t="n">
        <v>2</v>
      </c>
      <c r="M530" s="28" t="n">
        <v>5.33</v>
      </c>
      <c r="N530" s="32" t="inlineStr">
        <is>
          <t>谨慎试水：少量上架测款，只有当月出单才补货；重点写清「瑕疵/为什么低价」</t>
        </is>
      </c>
    </row>
    <row r="531">
      <c r="A531" s="25" t="n">
        <v>529</v>
      </c>
      <c r="B531" s="25" t="inlineStr">
        <is>
          <t>康佳</t>
        </is>
      </c>
      <c r="C531" s="36" t="inlineStr">
        <is>
          <t>C</t>
        </is>
      </c>
      <c r="D531" s="26" t="inlineStr">
        <is>
          <t>电动剃毛器</t>
        </is>
      </c>
      <c r="E531" s="26" t="inlineStr">
        <is>
          <t>剃毛器</t>
        </is>
      </c>
      <c r="F531" s="26" t="inlineStr">
        <is>
          <t>康佳/TMQ二合一/黑色/KTMQ50-0502</t>
        </is>
      </c>
      <c r="G531" s="26" t="inlineStr">
        <is>
          <t>TMQ-11</t>
        </is>
      </c>
      <c r="H531" s="29" t="n">
        <v>18</v>
      </c>
      <c r="I531" s="25" t="inlineStr">
        <is>
          <t>¥15–20</t>
        </is>
      </c>
      <c r="J531" s="29" t="n">
        <v>14</v>
      </c>
      <c r="K531" s="29" t="n">
        <v>27</v>
      </c>
      <c r="L531" s="37" t="n">
        <v>2</v>
      </c>
      <c r="M531" s="28" t="n">
        <v>5.33</v>
      </c>
      <c r="N531" s="32" t="inlineStr">
        <is>
          <t>谨慎试水：少量上架测款，只有当月出单才补货；重点写清「瑕疵/为什么低价」</t>
        </is>
      </c>
    </row>
    <row r="532">
      <c r="A532" s="25" t="n">
        <v>530</v>
      </c>
      <c r="B532" s="25" t="inlineStr">
        <is>
          <t>康佳</t>
        </is>
      </c>
      <c r="C532" s="36" t="inlineStr">
        <is>
          <t>C</t>
        </is>
      </c>
      <c r="D532" s="26" t="inlineStr">
        <is>
          <t>电动剃毛器</t>
        </is>
      </c>
      <c r="E532" s="26" t="inlineStr">
        <is>
          <t>剃毛器</t>
        </is>
      </c>
      <c r="F532" s="26" t="inlineStr">
        <is>
          <t>康佳/TMQ二合一/蓝色/KTMQ50-0502</t>
        </is>
      </c>
      <c r="G532" s="26" t="inlineStr">
        <is>
          <t>TMQ-12</t>
        </is>
      </c>
      <c r="H532" s="29" t="n">
        <v>18</v>
      </c>
      <c r="I532" s="25" t="inlineStr">
        <is>
          <t>¥15–20</t>
        </is>
      </c>
      <c r="J532" s="29" t="n">
        <v>14</v>
      </c>
      <c r="K532" s="29" t="n">
        <v>27</v>
      </c>
      <c r="L532" s="37" t="n">
        <v>2</v>
      </c>
      <c r="M532" s="28" t="n">
        <v>5.33</v>
      </c>
      <c r="N532" s="32" t="inlineStr">
        <is>
          <t>谨慎试水：少量上架测款，只有当月出单才补货；重点写清「瑕疵/为什么低价」</t>
        </is>
      </c>
    </row>
    <row r="533">
      <c r="A533" s="25" t="n">
        <v>531</v>
      </c>
      <c r="B533" s="25" t="inlineStr">
        <is>
          <t>mericle</t>
        </is>
      </c>
      <c r="C533" s="36" t="inlineStr">
        <is>
          <t>C</t>
        </is>
      </c>
      <c r="D533" s="26" t="inlineStr">
        <is>
          <t>甩脂机</t>
        </is>
      </c>
      <c r="E533" s="26" t="inlineStr">
        <is>
          <t>按摩器</t>
        </is>
      </c>
      <c r="F533" s="26" t="inlineStr">
        <is>
          <t>Mericle/甩脂机/白色</t>
        </is>
      </c>
      <c r="G533" s="26" t="inlineStr">
        <is>
          <t>Mericle-SZJ-B</t>
        </is>
      </c>
      <c r="H533" s="29" t="n">
        <v>46</v>
      </c>
      <c r="I533" s="25" t="inlineStr">
        <is>
          <t>¥41–50</t>
        </is>
      </c>
      <c r="J533" s="29" t="n">
        <v>39</v>
      </c>
      <c r="K533" s="29" t="n">
        <v>59</v>
      </c>
      <c r="L533" s="37" t="n">
        <v>4.5</v>
      </c>
      <c r="M533" s="28" t="n">
        <v>5.31</v>
      </c>
      <c r="N533" s="32" t="inlineStr">
        <is>
          <t>谨慎试水：少量上架测款，只有当月出单才补货；重点写清「瑕疵/为什么低价」</t>
        </is>
      </c>
    </row>
    <row r="534">
      <c r="A534" s="25" t="n">
        <v>532</v>
      </c>
      <c r="B534" s="25" t="inlineStr">
        <is>
          <t>通货</t>
        </is>
      </c>
      <c r="C534" s="36" t="inlineStr">
        <is>
          <t>C</t>
        </is>
      </c>
      <c r="D534" s="26" t="inlineStr">
        <is>
          <t>甩脂机</t>
        </is>
      </c>
      <c r="E534" s="26" t="inlineStr">
        <is>
          <t>甩脂机</t>
        </is>
      </c>
      <c r="F534" s="26" t="inlineStr">
        <is>
          <t>甩脂机/粉色/YQ-058</t>
        </is>
      </c>
      <c r="G534" s="26" t="inlineStr">
        <is>
          <t>SZJ-F</t>
        </is>
      </c>
      <c r="H534" s="29" t="n">
        <v>46</v>
      </c>
      <c r="I534" s="25" t="inlineStr">
        <is>
          <t>¥41–50</t>
        </is>
      </c>
      <c r="J534" s="29" t="n">
        <v>39</v>
      </c>
      <c r="K534" s="29" t="n">
        <v>59</v>
      </c>
      <c r="L534" s="37" t="n">
        <v>4.5</v>
      </c>
      <c r="M534" s="28" t="n">
        <v>5.31</v>
      </c>
      <c r="N534" s="32" t="inlineStr">
        <is>
          <t>谨慎试水：少量上架测款，只有当月出单才补货；重点写清「瑕疵/为什么低价」</t>
        </is>
      </c>
    </row>
    <row r="535">
      <c r="A535" s="25" t="n">
        <v>533</v>
      </c>
      <c r="B535" s="25" t="inlineStr">
        <is>
          <t>通货</t>
        </is>
      </c>
      <c r="C535" s="36" t="inlineStr">
        <is>
          <t>C</t>
        </is>
      </c>
      <c r="D535" s="26" t="inlineStr">
        <is>
          <t>智能护膝仪</t>
        </is>
      </c>
      <c r="E535" s="26" t="inlineStr">
        <is>
          <t>智能护膝仪</t>
        </is>
      </c>
      <c r="F535" s="26" t="inlineStr">
        <is>
          <t>智能护膝仪/LT-KNEE08</t>
        </is>
      </c>
      <c r="G535" s="26" t="inlineStr">
        <is>
          <t>HXY-01</t>
        </is>
      </c>
      <c r="H535" s="29" t="n">
        <v>38</v>
      </c>
      <c r="I535" s="25" t="inlineStr">
        <is>
          <t>¥36–41</t>
        </is>
      </c>
      <c r="J535" s="29" t="n">
        <v>34</v>
      </c>
      <c r="K535" s="29" t="n">
        <v>100</v>
      </c>
      <c r="L535" s="37" t="n">
        <v>4</v>
      </c>
      <c r="M535" s="28" t="n">
        <v>5.27</v>
      </c>
      <c r="N535" s="32" t="inlineStr">
        <is>
          <t>谨慎试水：少量上架测款，只有当月出单才补货；重点写清「瑕疵/为什么低价」</t>
        </is>
      </c>
    </row>
    <row r="536">
      <c r="A536" s="25" t="n">
        <v>534</v>
      </c>
      <c r="B536" s="25" t="inlineStr">
        <is>
          <t>mericle</t>
        </is>
      </c>
      <c r="C536" s="36" t="inlineStr">
        <is>
          <t>C</t>
        </is>
      </c>
      <c r="D536" s="26" t="inlineStr">
        <is>
          <t>冰丝口罩</t>
        </is>
      </c>
      <c r="E536" s="26" t="inlineStr">
        <is>
          <t>冰丝口罩</t>
        </is>
      </c>
      <c r="F536" s="26" t="inlineStr">
        <is>
          <t>Mericle/冰丝口罩/黑色</t>
        </is>
      </c>
      <c r="G536" s="26" t="inlineStr">
        <is>
          <t>FSKZ-04</t>
        </is>
      </c>
      <c r="H536" s="29" t="n">
        <v>7</v>
      </c>
      <c r="I536" s="25" t="inlineStr">
        <is>
          <t>¥7–7</t>
        </is>
      </c>
      <c r="J536" s="29" t="n">
        <v>7</v>
      </c>
      <c r="K536" s="29" t="n">
        <v>14</v>
      </c>
      <c r="L536" s="37" t="n">
        <v>5</v>
      </c>
      <c r="M536" s="28" t="n">
        <v>5.25</v>
      </c>
      <c r="N536" s="32" t="inlineStr">
        <is>
          <t>谨慎试水：少量上架测款，只有当月出单才补货；重点写清「瑕疵/为什么低价」</t>
        </is>
      </c>
    </row>
    <row r="537">
      <c r="A537" s="25" t="n">
        <v>535</v>
      </c>
      <c r="B537" s="25" t="inlineStr">
        <is>
          <t>mericle</t>
        </is>
      </c>
      <c r="C537" s="36" t="inlineStr">
        <is>
          <t>C</t>
        </is>
      </c>
      <c r="D537" s="26" t="inlineStr">
        <is>
          <t>冰丝口罩</t>
        </is>
      </c>
      <c r="E537" s="26" t="inlineStr">
        <is>
          <t>冰丝口罩</t>
        </is>
      </c>
      <c r="F537" s="26" t="inlineStr">
        <is>
          <t>Mericle/冰丝口罩/灰色</t>
        </is>
      </c>
      <c r="G537" s="26" t="inlineStr">
        <is>
          <t>FSKZ-05</t>
        </is>
      </c>
      <c r="H537" s="29" t="n">
        <v>7</v>
      </c>
      <c r="I537" s="25" t="inlineStr">
        <is>
          <t>¥7–7</t>
        </is>
      </c>
      <c r="J537" s="29" t="n">
        <v>7</v>
      </c>
      <c r="K537" s="29" t="n">
        <v>14</v>
      </c>
      <c r="L537" s="37" t="n">
        <v>5</v>
      </c>
      <c r="M537" s="28" t="n">
        <v>5.25</v>
      </c>
      <c r="N537" s="32" t="inlineStr">
        <is>
          <t>谨慎试水：少量上架测款，只有当月出单才补货；重点写清「瑕疵/为什么低价」</t>
        </is>
      </c>
    </row>
    <row r="538">
      <c r="A538" s="25" t="n">
        <v>536</v>
      </c>
      <c r="B538" s="25" t="inlineStr">
        <is>
          <t>mericle</t>
        </is>
      </c>
      <c r="C538" s="36" t="inlineStr">
        <is>
          <t>C</t>
        </is>
      </c>
      <c r="D538" s="26" t="inlineStr">
        <is>
          <t>冰丝口罩</t>
        </is>
      </c>
      <c r="E538" s="26" t="inlineStr">
        <is>
          <t>冰丝口罩</t>
        </is>
      </c>
      <c r="F538" s="26" t="inlineStr">
        <is>
          <t>Mericle/冰丝口罩/粉色</t>
        </is>
      </c>
      <c r="G538" s="26" t="inlineStr">
        <is>
          <t>FSKZ-06</t>
        </is>
      </c>
      <c r="H538" s="29" t="n">
        <v>7</v>
      </c>
      <c r="I538" s="25" t="inlineStr">
        <is>
          <t>¥7–7</t>
        </is>
      </c>
      <c r="J538" s="29" t="n">
        <v>7</v>
      </c>
      <c r="K538" s="29" t="n">
        <v>14</v>
      </c>
      <c r="L538" s="37" t="n">
        <v>5</v>
      </c>
      <c r="M538" s="28" t="n">
        <v>5.25</v>
      </c>
      <c r="N538" s="32" t="inlineStr">
        <is>
          <t>谨慎试水：少量上架测款，只有当月出单才补货；重点写清「瑕疵/为什么低价」</t>
        </is>
      </c>
    </row>
    <row r="539">
      <c r="A539" s="25" t="n">
        <v>537</v>
      </c>
      <c r="B539" s="25" t="inlineStr">
        <is>
          <t>mericle</t>
        </is>
      </c>
      <c r="C539" s="36" t="inlineStr">
        <is>
          <t>C</t>
        </is>
      </c>
      <c r="D539" s="26" t="inlineStr">
        <is>
          <t>强脉冲光治疗仪</t>
        </is>
      </c>
      <c r="E539" s="26" t="inlineStr">
        <is>
          <t>强脉冲光治疗仪</t>
        </is>
      </c>
      <c r="F539" s="26" t="inlineStr">
        <is>
          <t>Mericle/二代冰点TMY/TCFDA10S</t>
        </is>
      </c>
      <c r="G539" s="26" t="inlineStr">
        <is>
          <t>Mericle-TMY-01</t>
        </is>
      </c>
      <c r="H539" s="29" t="n">
        <v>12</v>
      </c>
      <c r="I539" s="25" t="inlineStr">
        <is>
          <t>¥12–13</t>
        </is>
      </c>
      <c r="J539" s="29" t="n">
        <v>11</v>
      </c>
      <c r="K539" s="29" t="n">
        <v>60</v>
      </c>
      <c r="L539" s="37" t="n">
        <v>5</v>
      </c>
      <c r="M539" s="28" t="n">
        <v>5.24</v>
      </c>
      <c r="N539" s="32" t="inlineStr">
        <is>
          <t>谨慎试水：少量上架测款，只有当月出单才补货；重点写清「瑕疵/为什么低价」</t>
        </is>
      </c>
    </row>
    <row r="540">
      <c r="A540" s="25" t="n">
        <v>538</v>
      </c>
      <c r="B540" s="25" t="inlineStr">
        <is>
          <t>mericle</t>
        </is>
      </c>
      <c r="C540" s="36" t="inlineStr">
        <is>
          <t>C</t>
        </is>
      </c>
      <c r="D540" s="26" t="inlineStr">
        <is>
          <t>强脉冲光治疗仪</t>
        </is>
      </c>
      <c r="E540" s="26" t="inlineStr">
        <is>
          <t>强脉冲光治疗仪</t>
        </is>
      </c>
      <c r="F540" s="26" t="inlineStr">
        <is>
          <t>Mericle/二代TMY/TCFDA10</t>
        </is>
      </c>
      <c r="G540" s="26" t="inlineStr">
        <is>
          <t>Mericle-TMY-02</t>
        </is>
      </c>
      <c r="H540" s="29" t="n">
        <v>12</v>
      </c>
      <c r="I540" s="25" t="inlineStr">
        <is>
          <t>¥12–13</t>
        </is>
      </c>
      <c r="J540" s="29" t="n">
        <v>11</v>
      </c>
      <c r="K540" s="29" t="n">
        <v>60</v>
      </c>
      <c r="L540" s="37" t="n">
        <v>5</v>
      </c>
      <c r="M540" s="28" t="n">
        <v>5.24</v>
      </c>
      <c r="N540" s="32" t="inlineStr">
        <is>
          <t>谨慎试水：少量上架测款，只有当月出单才补货；重点写清「瑕疵/为什么低价」</t>
        </is>
      </c>
    </row>
    <row r="541">
      <c r="A541" s="25" t="n">
        <v>539</v>
      </c>
      <c r="B541" s="25" t="inlineStr">
        <is>
          <t>通货</t>
        </is>
      </c>
      <c r="C541" s="36" t="inlineStr">
        <is>
          <t>C</t>
        </is>
      </c>
      <c r="D541" s="26" t="inlineStr">
        <is>
          <t>漱口水</t>
        </is>
      </c>
      <c r="E541" s="26" t="inlineStr">
        <is>
          <t>漱口水</t>
        </is>
      </c>
      <c r="F541" s="26" t="inlineStr">
        <is>
          <t>宝洁丽/漱口水/20条装</t>
        </is>
      </c>
      <c r="G541" s="26" t="inlineStr">
        <is>
          <t>SKS-01</t>
        </is>
      </c>
      <c r="H541" s="29" t="n">
        <v>10</v>
      </c>
      <c r="I541" s="25" t="inlineStr">
        <is>
          <t>¥8–12</t>
        </is>
      </c>
      <c r="J541" s="29" t="n">
        <v>8</v>
      </c>
      <c r="K541" s="29" t="n">
        <v>16</v>
      </c>
      <c r="L541" s="37" t="n">
        <v>9</v>
      </c>
      <c r="M541" s="28" t="n">
        <v>5.23</v>
      </c>
      <c r="N541" s="32" t="inlineStr">
        <is>
          <t>谨慎试水：少量上架测款，只有当月出单才补货；重点写清「瑕疵/为什么低价」</t>
        </is>
      </c>
    </row>
    <row r="542">
      <c r="A542" s="25" t="n">
        <v>540</v>
      </c>
      <c r="B542" s="25" t="inlineStr">
        <is>
          <t>mericle</t>
        </is>
      </c>
      <c r="C542" s="36" t="inlineStr">
        <is>
          <t>C</t>
        </is>
      </c>
      <c r="D542" s="26" t="inlineStr">
        <is>
          <t>立式切菜器</t>
        </is>
      </c>
      <c r="E542" s="26" t="inlineStr">
        <is>
          <t>新款立式切菜器</t>
        </is>
      </c>
      <c r="F542" s="26" t="inlineStr">
        <is>
          <t>Mericle/切菜器</t>
        </is>
      </c>
      <c r="G542" s="26" t="inlineStr">
        <is>
          <t>Mericle-QCQ-01</t>
        </is>
      </c>
      <c r="H542" s="29" t="n">
        <v>14</v>
      </c>
      <c r="I542" s="25" t="inlineStr">
        <is>
          <t>¥12–15</t>
        </is>
      </c>
      <c r="J542" s="29" t="n">
        <v>11</v>
      </c>
      <c r="K542" s="29" t="n">
        <v>18</v>
      </c>
      <c r="L542" s="37" t="n">
        <v>3</v>
      </c>
      <c r="M542" s="28" t="n">
        <v>5.2</v>
      </c>
      <c r="N542" s="32" t="inlineStr">
        <is>
          <t>谨慎试水：少量上架测款，只有当月出单才补货；重点写清「瑕疵/为什么低价」</t>
        </is>
      </c>
    </row>
    <row r="543">
      <c r="A543" s="25" t="n">
        <v>541</v>
      </c>
      <c r="B543" s="25" t="inlineStr">
        <is>
          <t>夏新</t>
        </is>
      </c>
      <c r="C543" s="36" t="inlineStr">
        <is>
          <t>C</t>
        </is>
      </c>
      <c r="D543" s="26" t="inlineStr">
        <is>
          <t>便携干衣机</t>
        </is>
      </c>
      <c r="E543" s="26" t="inlineStr">
        <is>
          <t>便携干衣机</t>
        </is>
      </c>
      <c r="F543" s="26" t="inlineStr">
        <is>
          <t>夏新/干衣机/白色</t>
        </is>
      </c>
      <c r="G543" s="26" t="inlineStr">
        <is>
          <t>GYJ-02</t>
        </is>
      </c>
      <c r="H543" s="29" t="n">
        <v>42</v>
      </c>
      <c r="I543" s="25" t="inlineStr">
        <is>
          <t>¥41–42</t>
        </is>
      </c>
      <c r="J543" s="29" t="n">
        <v>39</v>
      </c>
      <c r="K543" s="29" t="n">
        <v>49</v>
      </c>
      <c r="L543" s="37" t="n">
        <v>3</v>
      </c>
      <c r="M543" s="28" t="n">
        <v>5.2</v>
      </c>
      <c r="N543" s="32" t="inlineStr">
        <is>
          <t>谨慎试水：少量上架测款，只有当月出单才补货；重点写清「瑕疵/为什么低价」</t>
        </is>
      </c>
    </row>
    <row r="544">
      <c r="A544" s="25" t="n">
        <v>542</v>
      </c>
      <c r="B544" s="25" t="inlineStr">
        <is>
          <t>夏新</t>
        </is>
      </c>
      <c r="C544" s="36" t="inlineStr">
        <is>
          <t>C</t>
        </is>
      </c>
      <c r="D544" s="26" t="inlineStr">
        <is>
          <t>便携干衣机</t>
        </is>
      </c>
      <c r="E544" s="26" t="inlineStr">
        <is>
          <t>便携干衣机</t>
        </is>
      </c>
      <c r="F544" s="26" t="inlineStr">
        <is>
          <t>夏新/干衣机/紫色</t>
        </is>
      </c>
      <c r="G544" s="26" t="inlineStr">
        <is>
          <t>GYJ-01</t>
        </is>
      </c>
      <c r="H544" s="29" t="n">
        <v>42</v>
      </c>
      <c r="I544" s="25" t="inlineStr">
        <is>
          <t>¥41–42</t>
        </is>
      </c>
      <c r="J544" s="29" t="n">
        <v>39</v>
      </c>
      <c r="K544" s="29" t="n">
        <v>49</v>
      </c>
      <c r="L544" s="37" t="n">
        <v>3</v>
      </c>
      <c r="M544" s="28" t="n">
        <v>5.2</v>
      </c>
      <c r="N544" s="32" t="inlineStr">
        <is>
          <t>谨慎试水：少量上架测款，只有当月出单才补货；重点写清「瑕疵/为什么低价」</t>
        </is>
      </c>
    </row>
    <row r="545">
      <c r="A545" s="25" t="n">
        <v>543</v>
      </c>
      <c r="B545" s="25" t="inlineStr">
        <is>
          <t>mericle</t>
        </is>
      </c>
      <c r="C545" s="36" t="inlineStr">
        <is>
          <t>C</t>
        </is>
      </c>
      <c r="D545" s="26" t="inlineStr">
        <is>
          <t>智能可视洁牙器</t>
        </is>
      </c>
      <c r="E545" s="26" t="inlineStr">
        <is>
          <t>智能可视洁牙器</t>
        </is>
      </c>
      <c r="F545" s="26" t="inlineStr">
        <is>
          <t>Mericle/洁牙器/白色/JYQ-005</t>
        </is>
      </c>
      <c r="G545" s="26" t="inlineStr">
        <is>
          <t>YCQJQ-12</t>
        </is>
      </c>
      <c r="H545" s="29" t="n">
        <v>38</v>
      </c>
      <c r="I545" s="25" t="inlineStr">
        <is>
          <t>¥31–44</t>
        </is>
      </c>
      <c r="J545" s="29" t="n">
        <v>29</v>
      </c>
      <c r="K545" s="29" t="n">
        <v>76</v>
      </c>
      <c r="L545" s="37" t="n">
        <v>4</v>
      </c>
      <c r="M545" s="28" t="n">
        <v>5.14</v>
      </c>
      <c r="N545" s="32" t="inlineStr">
        <is>
          <t>谨慎试水：少量上架测款，只有当月出单才补货；重点写清「瑕疵/为什么低价」</t>
        </is>
      </c>
    </row>
    <row r="546">
      <c r="A546" s="25" t="n">
        <v>544</v>
      </c>
      <c r="B546" s="25" t="inlineStr">
        <is>
          <t>mericle</t>
        </is>
      </c>
      <c r="C546" s="36" t="inlineStr">
        <is>
          <t>C</t>
        </is>
      </c>
      <c r="D546" s="26" t="inlineStr">
        <is>
          <t>智能可视洁牙器</t>
        </is>
      </c>
      <c r="E546" s="26" t="inlineStr">
        <is>
          <t>智能可视洁牙器</t>
        </is>
      </c>
      <c r="F546" s="26" t="inlineStr">
        <is>
          <t>Mericle/洁牙器/蓝色/JYQ-005</t>
        </is>
      </c>
      <c r="G546" s="26" t="inlineStr">
        <is>
          <t>YCQJQ-13</t>
        </is>
      </c>
      <c r="H546" s="29" t="n">
        <v>38</v>
      </c>
      <c r="I546" s="25" t="inlineStr">
        <is>
          <t>¥31–44</t>
        </is>
      </c>
      <c r="J546" s="29" t="n">
        <v>29</v>
      </c>
      <c r="K546" s="29" t="n">
        <v>76</v>
      </c>
      <c r="L546" s="37" t="n">
        <v>4</v>
      </c>
      <c r="M546" s="28" t="n">
        <v>5.14</v>
      </c>
      <c r="N546" s="32" t="inlineStr">
        <is>
          <t>谨慎试水：少量上架测款，只有当月出单才补货；重点写清「瑕疵/为什么低价」</t>
        </is>
      </c>
    </row>
    <row r="547">
      <c r="A547" s="25" t="n">
        <v>545</v>
      </c>
      <c r="B547" s="25" t="inlineStr">
        <is>
          <t>mericle</t>
        </is>
      </c>
      <c r="C547" s="36" t="inlineStr">
        <is>
          <t>C</t>
        </is>
      </c>
      <c r="D547" s="26" t="inlineStr">
        <is>
          <t>电动指甲刀</t>
        </is>
      </c>
      <c r="E547" s="26" t="inlineStr">
        <is>
          <t>电动指甲刀</t>
        </is>
      </c>
      <c r="F547" s="26" t="inlineStr">
        <is>
          <t>Mericle/指甲刀/蓝</t>
        </is>
      </c>
      <c r="G547" s="26" t="inlineStr">
        <is>
          <t>Mericle-ZJD-L</t>
        </is>
      </c>
      <c r="H547" s="29" t="n">
        <v>16</v>
      </c>
      <c r="I547" s="25" t="inlineStr">
        <is>
          <t>¥13–18</t>
        </is>
      </c>
      <c r="J547" s="29" t="n">
        <v>12</v>
      </c>
      <c r="K547" s="29" t="n">
        <v>26</v>
      </c>
      <c r="L547" s="37" t="n">
        <v>4</v>
      </c>
      <c r="M547" s="28" t="n">
        <v>5.11</v>
      </c>
      <c r="N547" s="32" t="inlineStr">
        <is>
          <t>谨慎试水：少量上架测款，只有当月出单才补货；重点写清「瑕疵/为什么低价」</t>
        </is>
      </c>
    </row>
    <row r="548">
      <c r="A548" s="25" t="n">
        <v>546</v>
      </c>
      <c r="B548" s="25" t="inlineStr">
        <is>
          <t>mericle</t>
        </is>
      </c>
      <c r="C548" s="36" t="inlineStr">
        <is>
          <t>C</t>
        </is>
      </c>
      <c r="D548" s="26" t="inlineStr">
        <is>
          <t>电动指甲刀</t>
        </is>
      </c>
      <c r="E548" s="26" t="inlineStr">
        <is>
          <t>电动指甲刀</t>
        </is>
      </c>
      <c r="F548" s="26" t="inlineStr">
        <is>
          <t>Mericle/指甲刀/白</t>
        </is>
      </c>
      <c r="G548" s="26" t="inlineStr">
        <is>
          <t>Mericle-ZJD-B</t>
        </is>
      </c>
      <c r="H548" s="29" t="n">
        <v>16</v>
      </c>
      <c r="I548" s="25" t="inlineStr">
        <is>
          <t>¥13–18</t>
        </is>
      </c>
      <c r="J548" s="29" t="n">
        <v>12</v>
      </c>
      <c r="K548" s="29" t="n">
        <v>26</v>
      </c>
      <c r="L548" s="37" t="n">
        <v>4</v>
      </c>
      <c r="M548" s="28" t="n">
        <v>5.11</v>
      </c>
      <c r="N548" s="32" t="inlineStr">
        <is>
          <t>谨慎试水：少量上架测款，只有当月出单才补货；重点写清「瑕疵/为什么低价」</t>
        </is>
      </c>
    </row>
    <row r="549">
      <c r="A549" s="25" t="n">
        <v>547</v>
      </c>
      <c r="B549" s="25" t="inlineStr">
        <is>
          <t>通货</t>
        </is>
      </c>
      <c r="C549" s="36" t="inlineStr">
        <is>
          <t>C</t>
        </is>
      </c>
      <c r="D549" s="26" t="inlineStr">
        <is>
          <t>电动指甲刀</t>
        </is>
      </c>
      <c r="E549" s="26" t="inlineStr">
        <is>
          <t>电动指甲刀</t>
        </is>
      </c>
      <c r="F549" s="26" t="inlineStr">
        <is>
          <t>电动指甲刀/白色</t>
        </is>
      </c>
      <c r="G549" s="26" t="inlineStr">
        <is>
          <t>DDZJD/BS</t>
        </is>
      </c>
      <c r="H549" s="29" t="n">
        <v>16</v>
      </c>
      <c r="I549" s="25" t="inlineStr">
        <is>
          <t>¥13–18</t>
        </is>
      </c>
      <c r="J549" s="29" t="n">
        <v>12</v>
      </c>
      <c r="K549" s="29" t="n">
        <v>26</v>
      </c>
      <c r="L549" s="37" t="n">
        <v>4</v>
      </c>
      <c r="M549" s="28" t="n">
        <v>5.11</v>
      </c>
      <c r="N549" s="32" t="inlineStr">
        <is>
          <t>谨慎试水：少量上架测款，只有当月出单才补货；重点写清「瑕疵/为什么低价」</t>
        </is>
      </c>
    </row>
    <row r="550">
      <c r="A550" s="25" t="n">
        <v>548</v>
      </c>
      <c r="B550" s="25" t="inlineStr">
        <is>
          <t>通货</t>
        </is>
      </c>
      <c r="C550" s="36" t="inlineStr">
        <is>
          <t>C</t>
        </is>
      </c>
      <c r="D550" s="26" t="inlineStr">
        <is>
          <t>电动指甲刀</t>
        </is>
      </c>
      <c r="E550" s="26" t="inlineStr">
        <is>
          <t>电动指甲刀</t>
        </is>
      </c>
      <c r="F550" s="26" t="inlineStr">
        <is>
          <t>电动指甲刀/绿色</t>
        </is>
      </c>
      <c r="G550" s="26" t="inlineStr">
        <is>
          <t>DDZJD/LS</t>
        </is>
      </c>
      <c r="H550" s="29" t="n">
        <v>16</v>
      </c>
      <c r="I550" s="25" t="inlineStr">
        <is>
          <t>¥13–18</t>
        </is>
      </c>
      <c r="J550" s="29" t="n">
        <v>12</v>
      </c>
      <c r="K550" s="29" t="n">
        <v>26</v>
      </c>
      <c r="L550" s="37" t="n">
        <v>4</v>
      </c>
      <c r="M550" s="28" t="n">
        <v>5.11</v>
      </c>
      <c r="N550" s="32" t="inlineStr">
        <is>
          <t>谨慎试水：少量上架测款，只有当月出单才补货；重点写清「瑕疵/为什么低价」</t>
        </is>
      </c>
    </row>
    <row r="551">
      <c r="A551" s="25" t="n">
        <v>549</v>
      </c>
      <c r="B551" s="25" t="inlineStr">
        <is>
          <t>mericle</t>
        </is>
      </c>
      <c r="C551" s="36" t="inlineStr">
        <is>
          <t>C</t>
        </is>
      </c>
      <c r="D551" s="26" t="inlineStr">
        <is>
          <t>矫姿带</t>
        </is>
      </c>
      <c r="E551" s="26" t="inlineStr">
        <is>
          <t>mericle智能感应式矫正器</t>
        </is>
      </c>
      <c r="F551" s="26" t="inlineStr">
        <is>
          <t>美丽蔻驼背矫正器 粉色</t>
        </is>
      </c>
      <c r="G551" s="26" t="inlineStr">
        <is>
          <t>Mericle-TBJZQFS</t>
        </is>
      </c>
      <c r="H551" s="29" t="n">
        <v>12</v>
      </c>
      <c r="I551" s="25" t="inlineStr">
        <is>
          <t>¥10–15</t>
        </is>
      </c>
      <c r="J551" s="29" t="n">
        <v>10</v>
      </c>
      <c r="K551" s="29" t="n">
        <v>20</v>
      </c>
      <c r="L551" s="37" t="n">
        <v>4</v>
      </c>
      <c r="M551" s="28" t="n">
        <v>5.1</v>
      </c>
      <c r="N551" s="32" t="inlineStr">
        <is>
          <t>谨慎试水：少量上架测款，只有当月出单才补货；重点写清「瑕疵/为什么低价」</t>
        </is>
      </c>
    </row>
    <row r="552">
      <c r="A552" s="25" t="n">
        <v>550</v>
      </c>
      <c r="B552" s="25" t="inlineStr">
        <is>
          <t>mericle</t>
        </is>
      </c>
      <c r="C552" s="36" t="inlineStr">
        <is>
          <t>C</t>
        </is>
      </c>
      <c r="D552" s="26" t="inlineStr">
        <is>
          <t>矫姿带</t>
        </is>
      </c>
      <c r="E552" s="26" t="inlineStr">
        <is>
          <t>mericle智能感应式矫正器</t>
        </is>
      </c>
      <c r="F552" s="26" t="inlineStr">
        <is>
          <t>美丽蔻驼背矫正器 灰色</t>
        </is>
      </c>
      <c r="G552" s="26" t="inlineStr">
        <is>
          <t>Mericle-TBJZQ</t>
        </is>
      </c>
      <c r="H552" s="29" t="n">
        <v>12</v>
      </c>
      <c r="I552" s="25" t="inlineStr">
        <is>
          <t>¥10–15</t>
        </is>
      </c>
      <c r="J552" s="29" t="n">
        <v>10</v>
      </c>
      <c r="K552" s="29" t="n">
        <v>20</v>
      </c>
      <c r="L552" s="37" t="n">
        <v>4</v>
      </c>
      <c r="M552" s="28" t="n">
        <v>5.1</v>
      </c>
      <c r="N552" s="32" t="inlineStr">
        <is>
          <t>谨慎试水：少量上架测款，只有当月出单才补货；重点写清「瑕疵/为什么低价」</t>
        </is>
      </c>
    </row>
    <row r="553">
      <c r="A553" s="25" t="n">
        <v>551</v>
      </c>
      <c r="B553" s="25" t="inlineStr">
        <is>
          <t>mericle</t>
        </is>
      </c>
      <c r="C553" s="36" t="inlineStr">
        <is>
          <t>C</t>
        </is>
      </c>
      <c r="D553" s="26" t="inlineStr">
        <is>
          <t>矫姿带</t>
        </is>
      </c>
      <c r="E553" s="26" t="inlineStr">
        <is>
          <t>mericle智能感应式矫正器</t>
        </is>
      </c>
      <c r="F553" s="26" t="inlineStr">
        <is>
          <t>矫正器 / 黑色002</t>
        </is>
      </c>
      <c r="G553" s="26" t="inlineStr">
        <is>
          <t>TBJZQ-02</t>
        </is>
      </c>
      <c r="H553" s="29" t="n">
        <v>12</v>
      </c>
      <c r="I553" s="25" t="inlineStr">
        <is>
          <t>¥10–15</t>
        </is>
      </c>
      <c r="J553" s="29" t="n">
        <v>10</v>
      </c>
      <c r="K553" s="29" t="n">
        <v>20</v>
      </c>
      <c r="L553" s="37" t="n">
        <v>4</v>
      </c>
      <c r="M553" s="28" t="n">
        <v>5.1</v>
      </c>
      <c r="N553" s="32" t="inlineStr">
        <is>
          <t>谨慎试水：少量上架测款，只有当月出单才补货；重点写清「瑕疵/为什么低价」</t>
        </is>
      </c>
    </row>
    <row r="554">
      <c r="A554" s="25" t="n">
        <v>552</v>
      </c>
      <c r="B554" s="25" t="inlineStr">
        <is>
          <t>mericle</t>
        </is>
      </c>
      <c r="C554" s="36" t="inlineStr">
        <is>
          <t>C</t>
        </is>
      </c>
      <c r="D554" s="26" t="inlineStr">
        <is>
          <t>矫姿带</t>
        </is>
      </c>
      <c r="E554" s="26" t="inlineStr">
        <is>
          <t>mericle智能感应式矫正器</t>
        </is>
      </c>
      <c r="F554" s="26" t="inlineStr">
        <is>
          <t>矫正器 /白色 002</t>
        </is>
      </c>
      <c r="G554" s="26" t="inlineStr">
        <is>
          <t>TBJZQ-03</t>
        </is>
      </c>
      <c r="H554" s="29" t="n">
        <v>12</v>
      </c>
      <c r="I554" s="25" t="inlineStr">
        <is>
          <t>¥10–15</t>
        </is>
      </c>
      <c r="J554" s="29" t="n">
        <v>10</v>
      </c>
      <c r="K554" s="29" t="n">
        <v>20</v>
      </c>
      <c r="L554" s="37" t="n">
        <v>4</v>
      </c>
      <c r="M554" s="28" t="n">
        <v>5.1</v>
      </c>
      <c r="N554" s="32" t="inlineStr">
        <is>
          <t>谨慎试水：少量上架测款，只有当月出单才补货；重点写清「瑕疵/为什么低价」</t>
        </is>
      </c>
    </row>
    <row r="555">
      <c r="A555" s="25" t="n">
        <v>553</v>
      </c>
      <c r="B555" s="25" t="inlineStr">
        <is>
          <t>mericle</t>
        </is>
      </c>
      <c r="C555" s="36" t="inlineStr">
        <is>
          <t>C</t>
        </is>
      </c>
      <c r="D555" s="26" t="inlineStr">
        <is>
          <t>矫姿带</t>
        </is>
      </c>
      <c r="E555" s="26" t="inlineStr">
        <is>
          <t>mericle智能感应式矫正器</t>
        </is>
      </c>
      <c r="F555" s="26" t="inlineStr">
        <is>
          <t>矫正器/菱形黑色</t>
        </is>
      </c>
      <c r="G555" s="26" t="inlineStr">
        <is>
          <t>TBJZQ-06</t>
        </is>
      </c>
      <c r="H555" s="29" t="n">
        <v>12</v>
      </c>
      <c r="I555" s="25" t="inlineStr">
        <is>
          <t>¥10–15</t>
        </is>
      </c>
      <c r="J555" s="29" t="n">
        <v>10</v>
      </c>
      <c r="K555" s="29" t="n">
        <v>20</v>
      </c>
      <c r="L555" s="37" t="n">
        <v>4</v>
      </c>
      <c r="M555" s="28" t="n">
        <v>5.1</v>
      </c>
      <c r="N555" s="32" t="inlineStr">
        <is>
          <t>谨慎试水：少量上架测款，只有当月出单才补货；重点写清「瑕疵/为什么低价」</t>
        </is>
      </c>
    </row>
    <row r="556">
      <c r="A556" s="25" t="n">
        <v>554</v>
      </c>
      <c r="B556" s="25" t="inlineStr">
        <is>
          <t>mericle</t>
        </is>
      </c>
      <c r="C556" s="36" t="inlineStr">
        <is>
          <t>C</t>
        </is>
      </c>
      <c r="D556" s="26" t="inlineStr">
        <is>
          <t>矫姿带</t>
        </is>
      </c>
      <c r="E556" s="26" t="inlineStr">
        <is>
          <t>mericle智能感应式矫正器</t>
        </is>
      </c>
      <c r="F556" s="26" t="inlineStr">
        <is>
          <t>美丽寇驼背矫正器小熊白色</t>
        </is>
      </c>
      <c r="G556" s="26" t="inlineStr">
        <is>
          <t>Mericle-TBJZQ001</t>
        </is>
      </c>
      <c r="H556" s="29" t="n">
        <v>12</v>
      </c>
      <c r="I556" s="25" t="inlineStr">
        <is>
          <t>¥10–15</t>
        </is>
      </c>
      <c r="J556" s="29" t="n">
        <v>10</v>
      </c>
      <c r="K556" s="29" t="n">
        <v>20</v>
      </c>
      <c r="L556" s="37" t="n">
        <v>4</v>
      </c>
      <c r="M556" s="28" t="n">
        <v>5.1</v>
      </c>
      <c r="N556" s="32" t="inlineStr">
        <is>
          <t>谨慎试水：少量上架测款，只有当月出单才补货；重点写清「瑕疵/为什么低价」</t>
        </is>
      </c>
    </row>
    <row r="557">
      <c r="A557" s="25" t="n">
        <v>555</v>
      </c>
      <c r="B557" s="25" t="inlineStr">
        <is>
          <t>mericle</t>
        </is>
      </c>
      <c r="C557" s="36" t="inlineStr">
        <is>
          <t>C</t>
        </is>
      </c>
      <c r="D557" s="26" t="inlineStr">
        <is>
          <t>矫姿带</t>
        </is>
      </c>
      <c r="E557" s="26" t="inlineStr">
        <is>
          <t>mericle智能感应式矫正器</t>
        </is>
      </c>
      <c r="F557" s="26" t="inlineStr">
        <is>
          <t>美丽蔻驼背矫正器小熊 粉色</t>
        </is>
      </c>
      <c r="G557" s="26" t="inlineStr">
        <is>
          <t>Mericle-TBJZQ002</t>
        </is>
      </c>
      <c r="H557" s="29" t="n">
        <v>12</v>
      </c>
      <c r="I557" s="25" t="inlineStr">
        <is>
          <t>¥10–15</t>
        </is>
      </c>
      <c r="J557" s="29" t="n">
        <v>10</v>
      </c>
      <c r="K557" s="29" t="n">
        <v>20</v>
      </c>
      <c r="L557" s="37" t="n">
        <v>4</v>
      </c>
      <c r="M557" s="28" t="n">
        <v>5.1</v>
      </c>
      <c r="N557" s="32" t="inlineStr">
        <is>
          <t>谨慎试水：少量上架测款，只有当月出单才补货；重点写清「瑕疵/为什么低价」</t>
        </is>
      </c>
    </row>
    <row r="558">
      <c r="A558" s="25" t="n">
        <v>556</v>
      </c>
      <c r="B558" s="25" t="inlineStr">
        <is>
          <t>mericle</t>
        </is>
      </c>
      <c r="C558" s="36" t="inlineStr">
        <is>
          <t>C</t>
        </is>
      </c>
      <c r="D558" s="26" t="inlineStr">
        <is>
          <t>矫姿带</t>
        </is>
      </c>
      <c r="E558" s="26" t="inlineStr">
        <is>
          <t>mericle智能感应式矫正器</t>
        </is>
      </c>
      <c r="F558" s="26" t="inlineStr">
        <is>
          <t>驼背矫正器磨砂黑 黑色001</t>
        </is>
      </c>
      <c r="G558" s="26" t="inlineStr">
        <is>
          <t>Mericle-TBJZQHS001</t>
        </is>
      </c>
      <c r="H558" s="29" t="n">
        <v>12</v>
      </c>
      <c r="I558" s="25" t="inlineStr">
        <is>
          <t>¥10–15</t>
        </is>
      </c>
      <c r="J558" s="29" t="n">
        <v>10</v>
      </c>
      <c r="K558" s="29" t="n">
        <v>20</v>
      </c>
      <c r="L558" s="37" t="n">
        <v>4</v>
      </c>
      <c r="M558" s="28" t="n">
        <v>5.1</v>
      </c>
      <c r="N558" s="32" t="inlineStr">
        <is>
          <t>谨慎试水：少量上架测款，只有当月出单才补货；重点写清「瑕疵/为什么低价」</t>
        </is>
      </c>
    </row>
    <row r="559">
      <c r="A559" s="25" t="n">
        <v>557</v>
      </c>
      <c r="B559" s="25" t="inlineStr">
        <is>
          <t>mericle</t>
        </is>
      </c>
      <c r="C559" s="36" t="inlineStr">
        <is>
          <t>C</t>
        </is>
      </c>
      <c r="D559" s="26" t="inlineStr">
        <is>
          <t>矫姿带</t>
        </is>
      </c>
      <c r="E559" s="26" t="inlineStr">
        <is>
          <t>mericle智能感应式矫正器</t>
        </is>
      </c>
      <c r="F559" s="26" t="inlineStr">
        <is>
          <t>矫正器 / 灰色001</t>
        </is>
      </c>
      <c r="G559" s="26" t="inlineStr">
        <is>
          <t>TBJZQ-01</t>
        </is>
      </c>
      <c r="H559" s="29" t="n">
        <v>12</v>
      </c>
      <c r="I559" s="25" t="inlineStr">
        <is>
          <t>¥10–15</t>
        </is>
      </c>
      <c r="J559" s="29" t="n">
        <v>10</v>
      </c>
      <c r="K559" s="29" t="n">
        <v>20</v>
      </c>
      <c r="L559" s="37" t="n">
        <v>4</v>
      </c>
      <c r="M559" s="28" t="n">
        <v>5.1</v>
      </c>
      <c r="N559" s="32" t="inlineStr">
        <is>
          <t>谨慎试水：少量上架测款，只有当月出单才补货；重点写清「瑕疵/为什么低价」</t>
        </is>
      </c>
    </row>
    <row r="560">
      <c r="A560" s="25" t="n">
        <v>558</v>
      </c>
      <c r="B560" s="25" t="inlineStr">
        <is>
          <t>mericle</t>
        </is>
      </c>
      <c r="C560" s="36" t="inlineStr">
        <is>
          <t>C</t>
        </is>
      </c>
      <c r="D560" s="26" t="inlineStr">
        <is>
          <t>矫姿带</t>
        </is>
      </c>
      <c r="E560" s="26" t="inlineStr">
        <is>
          <t>mericle智能感应式矫正器</t>
        </is>
      </c>
      <c r="F560" s="26" t="inlineStr">
        <is>
          <t>矫正器/数码椭圆款/黑色</t>
        </is>
      </c>
      <c r="G560" s="26" t="inlineStr">
        <is>
          <t>TBJZQ-07</t>
        </is>
      </c>
      <c r="H560" s="29" t="n">
        <v>12</v>
      </c>
      <c r="I560" s="25" t="inlineStr">
        <is>
          <t>¥10–15</t>
        </is>
      </c>
      <c r="J560" s="29" t="n">
        <v>10</v>
      </c>
      <c r="K560" s="29" t="n">
        <v>20</v>
      </c>
      <c r="L560" s="37" t="n">
        <v>4</v>
      </c>
      <c r="M560" s="28" t="n">
        <v>5.1</v>
      </c>
      <c r="N560" s="32" t="inlineStr">
        <is>
          <t>谨慎试水：少量上架测款，只有当月出单才补货；重点写清「瑕疵/为什么低价」</t>
        </is>
      </c>
    </row>
    <row r="561">
      <c r="A561" s="25" t="n">
        <v>559</v>
      </c>
      <c r="B561" s="25" t="inlineStr">
        <is>
          <t>mericle</t>
        </is>
      </c>
      <c r="C561" s="36" t="inlineStr">
        <is>
          <t>C</t>
        </is>
      </c>
      <c r="D561" s="26" t="inlineStr">
        <is>
          <t>矫姿带</t>
        </is>
      </c>
      <c r="E561" s="26" t="inlineStr">
        <is>
          <t>mericle智能感应式矫正器</t>
        </is>
      </c>
      <c r="F561" s="26" t="inlineStr">
        <is>
          <t>mericle/龙骨矫正器/L码</t>
        </is>
      </c>
      <c r="G561" s="26" t="inlineStr">
        <is>
          <t>JZQ-05</t>
        </is>
      </c>
      <c r="H561" s="29" t="n">
        <v>12</v>
      </c>
      <c r="I561" s="25" t="inlineStr">
        <is>
          <t>¥10–15</t>
        </is>
      </c>
      <c r="J561" s="29" t="n">
        <v>10</v>
      </c>
      <c r="K561" s="29" t="n">
        <v>20</v>
      </c>
      <c r="L561" s="37" t="n">
        <v>4</v>
      </c>
      <c r="M561" s="28" t="n">
        <v>5.1</v>
      </c>
      <c r="N561" s="32" t="inlineStr">
        <is>
          <t>谨慎试水：少量上架测款，只有当月出单才补货；重点写清「瑕疵/为什么低价」</t>
        </is>
      </c>
    </row>
    <row r="562">
      <c r="A562" s="25" t="n">
        <v>560</v>
      </c>
      <c r="B562" s="25" t="inlineStr">
        <is>
          <t>mericle</t>
        </is>
      </c>
      <c r="C562" s="36" t="inlineStr">
        <is>
          <t>C</t>
        </is>
      </c>
      <c r="D562" s="26" t="inlineStr">
        <is>
          <t>矫姿带</t>
        </is>
      </c>
      <c r="E562" s="26" t="inlineStr">
        <is>
          <t>mericle智能感应式矫正器</t>
        </is>
      </c>
      <c r="F562" s="26" t="inlineStr">
        <is>
          <t>mericle/龙骨矫正器/M码</t>
        </is>
      </c>
      <c r="G562" s="26" t="inlineStr">
        <is>
          <t>JZQ-06</t>
        </is>
      </c>
      <c r="H562" s="29" t="n">
        <v>12</v>
      </c>
      <c r="I562" s="25" t="inlineStr">
        <is>
          <t>¥10–15</t>
        </is>
      </c>
      <c r="J562" s="29" t="n">
        <v>10</v>
      </c>
      <c r="K562" s="29" t="n">
        <v>20</v>
      </c>
      <c r="L562" s="37" t="n">
        <v>4</v>
      </c>
      <c r="M562" s="28" t="n">
        <v>5.1</v>
      </c>
      <c r="N562" s="32" t="inlineStr">
        <is>
          <t>谨慎试水：少量上架测款，只有当月出单才补货；重点写清「瑕疵/为什么低价」</t>
        </is>
      </c>
    </row>
    <row r="563">
      <c r="A563" s="25" t="n">
        <v>561</v>
      </c>
      <c r="B563" s="25" t="inlineStr">
        <is>
          <t>mericle</t>
        </is>
      </c>
      <c r="C563" s="36" t="inlineStr">
        <is>
          <t>C</t>
        </is>
      </c>
      <c r="D563" s="26" t="inlineStr">
        <is>
          <t>矫姿带</t>
        </is>
      </c>
      <c r="E563" s="26" t="inlineStr">
        <is>
          <t>mericle智能感应式矫正器</t>
        </is>
      </c>
      <c r="F563" s="26" t="inlineStr">
        <is>
          <t>mericle/龙骨矫正器/S码</t>
        </is>
      </c>
      <c r="G563" s="26" t="inlineStr">
        <is>
          <t>JZQ-07</t>
        </is>
      </c>
      <c r="H563" s="29" t="n">
        <v>12</v>
      </c>
      <c r="I563" s="25" t="inlineStr">
        <is>
          <t>¥10–15</t>
        </is>
      </c>
      <c r="J563" s="29" t="n">
        <v>10</v>
      </c>
      <c r="K563" s="29" t="n">
        <v>20</v>
      </c>
      <c r="L563" s="37" t="n">
        <v>4</v>
      </c>
      <c r="M563" s="28" t="n">
        <v>5.1</v>
      </c>
      <c r="N563" s="32" t="inlineStr">
        <is>
          <t>谨慎试水：少量上架测款，只有当月出单才补货；重点写清「瑕疵/为什么低价」</t>
        </is>
      </c>
    </row>
    <row r="564">
      <c r="A564" s="25" t="n">
        <v>562</v>
      </c>
      <c r="B564" s="25" t="inlineStr">
        <is>
          <t>mericle</t>
        </is>
      </c>
      <c r="C564" s="36" t="inlineStr">
        <is>
          <t>C</t>
        </is>
      </c>
      <c r="D564" s="26" t="inlineStr">
        <is>
          <t>矫姿带</t>
        </is>
      </c>
      <c r="E564" s="26" t="inlineStr">
        <is>
          <t>mericle智能感应式矫正器</t>
        </is>
      </c>
      <c r="F564" s="26" t="inlineStr">
        <is>
          <t>mericle/AI智能矫正器/粉色</t>
        </is>
      </c>
      <c r="G564" s="26" t="inlineStr">
        <is>
          <t>JZQ-08</t>
        </is>
      </c>
      <c r="H564" s="29" t="n">
        <v>12</v>
      </c>
      <c r="I564" s="25" t="inlineStr">
        <is>
          <t>¥10–15</t>
        </is>
      </c>
      <c r="J564" s="29" t="n">
        <v>10</v>
      </c>
      <c r="K564" s="29" t="n">
        <v>20</v>
      </c>
      <c r="L564" s="37" t="n">
        <v>4</v>
      </c>
      <c r="M564" s="28" t="n">
        <v>5.1</v>
      </c>
      <c r="N564" s="32" t="inlineStr">
        <is>
          <t>谨慎试水：少量上架测款，只有当月出单才补货；重点写清「瑕疵/为什么低价」</t>
        </is>
      </c>
    </row>
    <row r="565">
      <c r="A565" s="25" t="n">
        <v>563</v>
      </c>
      <c r="B565" s="25" t="inlineStr">
        <is>
          <t>mericle</t>
        </is>
      </c>
      <c r="C565" s="36" t="inlineStr">
        <is>
          <t>C</t>
        </is>
      </c>
      <c r="D565" s="26" t="inlineStr">
        <is>
          <t>矫姿带</t>
        </is>
      </c>
      <c r="E565" s="26" t="inlineStr">
        <is>
          <t>mericle智能感应式矫正器</t>
        </is>
      </c>
      <c r="F565" s="26" t="inlineStr">
        <is>
          <t>mericle/AI智能矫正器/蓝色</t>
        </is>
      </c>
      <c r="G565" s="26" t="inlineStr">
        <is>
          <t>JZQ-09</t>
        </is>
      </c>
      <c r="H565" s="29" t="n">
        <v>12</v>
      </c>
      <c r="I565" s="25" t="inlineStr">
        <is>
          <t>¥10–15</t>
        </is>
      </c>
      <c r="J565" s="29" t="n">
        <v>10</v>
      </c>
      <c r="K565" s="29" t="n">
        <v>20</v>
      </c>
      <c r="L565" s="37" t="n">
        <v>4</v>
      </c>
      <c r="M565" s="28" t="n">
        <v>5.1</v>
      </c>
      <c r="N565" s="32" t="inlineStr">
        <is>
          <t>谨慎试水：少量上架测款，只有当月出单才补货；重点写清「瑕疵/为什么低价」</t>
        </is>
      </c>
    </row>
    <row r="566">
      <c r="A566" s="25" t="n">
        <v>564</v>
      </c>
      <c r="B566" s="25" t="inlineStr">
        <is>
          <t>mericle</t>
        </is>
      </c>
      <c r="C566" s="36" t="inlineStr">
        <is>
          <t>C</t>
        </is>
      </c>
      <c r="D566" s="26" t="inlineStr">
        <is>
          <t>矫姿带</t>
        </is>
      </c>
      <c r="E566" s="26" t="inlineStr">
        <is>
          <t>矫姿带</t>
        </is>
      </c>
      <c r="F566" s="26" t="inlineStr">
        <is>
          <t>Mericle矫姿带S/JZD-001</t>
        </is>
      </c>
      <c r="G566" s="26" t="inlineStr">
        <is>
          <t>JZQ-10</t>
        </is>
      </c>
      <c r="H566" s="29" t="n">
        <v>12</v>
      </c>
      <c r="I566" s="25" t="inlineStr">
        <is>
          <t>¥10–15</t>
        </is>
      </c>
      <c r="J566" s="29" t="n">
        <v>10</v>
      </c>
      <c r="K566" s="29" t="n">
        <v>20</v>
      </c>
      <c r="L566" s="37" t="n">
        <v>4</v>
      </c>
      <c r="M566" s="28" t="n">
        <v>5.1</v>
      </c>
      <c r="N566" s="32" t="inlineStr">
        <is>
          <t>谨慎试水：少量上架测款，只有当月出单才补货；重点写清「瑕疵/为什么低价」</t>
        </is>
      </c>
    </row>
    <row r="567">
      <c r="A567" s="25" t="n">
        <v>565</v>
      </c>
      <c r="B567" s="25" t="inlineStr">
        <is>
          <t>mericle</t>
        </is>
      </c>
      <c r="C567" s="36" t="inlineStr">
        <is>
          <t>C</t>
        </is>
      </c>
      <c r="D567" s="26" t="inlineStr">
        <is>
          <t>矫姿带</t>
        </is>
      </c>
      <c r="E567" s="26" t="inlineStr">
        <is>
          <t>矫姿带</t>
        </is>
      </c>
      <c r="F567" s="26" t="inlineStr">
        <is>
          <t>Mericle矫姿带M/JZD-001</t>
        </is>
      </c>
      <c r="G567" s="26" t="inlineStr">
        <is>
          <t>JZQ-11</t>
        </is>
      </c>
      <c r="H567" s="29" t="n">
        <v>12</v>
      </c>
      <c r="I567" s="25" t="inlineStr">
        <is>
          <t>¥10–15</t>
        </is>
      </c>
      <c r="J567" s="29" t="n">
        <v>10</v>
      </c>
      <c r="K567" s="29" t="n">
        <v>20</v>
      </c>
      <c r="L567" s="37" t="n">
        <v>4</v>
      </c>
      <c r="M567" s="28" t="n">
        <v>5.1</v>
      </c>
      <c r="N567" s="32" t="inlineStr">
        <is>
          <t>谨慎试水：少量上架测款，只有当月出单才补货；重点写清「瑕疵/为什么低价」</t>
        </is>
      </c>
    </row>
    <row r="568">
      <c r="A568" s="25" t="n">
        <v>566</v>
      </c>
      <c r="B568" s="25" t="inlineStr">
        <is>
          <t>mericle</t>
        </is>
      </c>
      <c r="C568" s="36" t="inlineStr">
        <is>
          <t>C</t>
        </is>
      </c>
      <c r="D568" s="26" t="inlineStr">
        <is>
          <t>矫姿带</t>
        </is>
      </c>
      <c r="E568" s="26" t="inlineStr">
        <is>
          <t>矫姿带</t>
        </is>
      </c>
      <c r="F568" s="26" t="inlineStr">
        <is>
          <t>Mericle矫姿带L/JZD-001</t>
        </is>
      </c>
      <c r="G568" s="26" t="inlineStr">
        <is>
          <t>JZQ-12</t>
        </is>
      </c>
      <c r="H568" s="29" t="n">
        <v>12</v>
      </c>
      <c r="I568" s="25" t="inlineStr">
        <is>
          <t>¥10–15</t>
        </is>
      </c>
      <c r="J568" s="29" t="n">
        <v>10</v>
      </c>
      <c r="K568" s="29" t="n">
        <v>20</v>
      </c>
      <c r="L568" s="37" t="n">
        <v>4</v>
      </c>
      <c r="M568" s="28" t="n">
        <v>5.1</v>
      </c>
      <c r="N568" s="32" t="inlineStr">
        <is>
          <t>谨慎试水：少量上架测款，只有当月出单才补货；重点写清「瑕疵/为什么低价」</t>
        </is>
      </c>
    </row>
    <row r="569">
      <c r="A569" s="25" t="n">
        <v>567</v>
      </c>
      <c r="B569" s="25" t="inlineStr">
        <is>
          <t>mericle</t>
        </is>
      </c>
      <c r="C569" s="36" t="inlineStr">
        <is>
          <t>C</t>
        </is>
      </c>
      <c r="D569" s="26" t="inlineStr">
        <is>
          <t>矫姿带</t>
        </is>
      </c>
      <c r="E569" s="26" t="inlineStr">
        <is>
          <t>矫姿带</t>
        </is>
      </c>
      <c r="F569" s="26" t="inlineStr">
        <is>
          <t>Mericle矫姿带XL/JZD-001</t>
        </is>
      </c>
      <c r="G569" s="26" t="inlineStr">
        <is>
          <t>JZQ-13</t>
        </is>
      </c>
      <c r="H569" s="29" t="n">
        <v>12</v>
      </c>
      <c r="I569" s="25" t="inlineStr">
        <is>
          <t>¥10–15</t>
        </is>
      </c>
      <c r="J569" s="29" t="n">
        <v>10</v>
      </c>
      <c r="K569" s="29" t="n">
        <v>20</v>
      </c>
      <c r="L569" s="37" t="n">
        <v>4</v>
      </c>
      <c r="M569" s="28" t="n">
        <v>5.1</v>
      </c>
      <c r="N569" s="32" t="inlineStr">
        <is>
          <t>谨慎试水：少量上架测款，只有当月出单才补货；重点写清「瑕疵/为什么低价」</t>
        </is>
      </c>
    </row>
    <row r="570">
      <c r="A570" s="25" t="n">
        <v>568</v>
      </c>
      <c r="B570" s="25" t="inlineStr">
        <is>
          <t>通货</t>
        </is>
      </c>
      <c r="C570" s="36" t="inlineStr">
        <is>
          <t>C</t>
        </is>
      </c>
      <c r="D570" s="26" t="inlineStr">
        <is>
          <t>净水器</t>
        </is>
      </c>
      <c r="E570" s="26" t="inlineStr">
        <is>
          <t>水龙头净水器</t>
        </is>
      </c>
      <c r="F570" s="26" t="inlineStr">
        <is>
          <t>诗蒂伦/水龙头净水器</t>
        </is>
      </c>
      <c r="G570" s="26" t="inlineStr">
        <is>
          <t>JSQ-01</t>
        </is>
      </c>
      <c r="H570" s="29" t="n">
        <v>15</v>
      </c>
      <c r="I570" s="25" t="inlineStr">
        <is>
          <t>¥14–16</t>
        </is>
      </c>
      <c r="J570" s="29" t="n">
        <v>13</v>
      </c>
      <c r="K570" s="29" t="n">
        <v>35</v>
      </c>
      <c r="L570" s="37" t="n">
        <v>3</v>
      </c>
      <c r="M570" s="28" t="n">
        <v>5.04</v>
      </c>
      <c r="N570" s="32" t="inlineStr">
        <is>
          <t>谨慎试水：少量上架测款，只有当月出单才补货；重点写清「瑕疵/为什么低价」</t>
        </is>
      </c>
    </row>
    <row r="571">
      <c r="A571" s="25" t="n">
        <v>569</v>
      </c>
      <c r="B571" s="25" t="inlineStr">
        <is>
          <t>mericle</t>
        </is>
      </c>
      <c r="C571" s="36" t="inlineStr">
        <is>
          <t>C</t>
        </is>
      </c>
      <c r="D571" s="26" t="inlineStr">
        <is>
          <t>毛球修剪器</t>
        </is>
      </c>
      <c r="E571" s="26" t="inlineStr">
        <is>
          <t>毛球修剪器</t>
        </is>
      </c>
      <c r="F571" s="26" t="inlineStr">
        <is>
          <t>Mericle/毛球修剪器/白色/0318</t>
        </is>
      </c>
      <c r="G571" s="26" t="inlineStr">
        <is>
          <t>MQXJQ-06</t>
        </is>
      </c>
      <c r="H571" s="29" t="n">
        <v>8</v>
      </c>
      <c r="I571" s="25" t="inlineStr">
        <is>
          <t>¥6–9</t>
        </is>
      </c>
      <c r="J571" s="29" t="n">
        <v>6</v>
      </c>
      <c r="K571" s="29" t="n">
        <v>16</v>
      </c>
      <c r="L571" s="37" t="n">
        <v>2</v>
      </c>
      <c r="M571" s="28" t="n">
        <v>4.99</v>
      </c>
      <c r="N571" s="32" t="inlineStr">
        <is>
          <t>谨慎试水：少量上架测款，只有当月出单才补货；重点写清「瑕疵/为什么低价」</t>
        </is>
      </c>
    </row>
    <row r="572">
      <c r="A572" s="25" t="n">
        <v>570</v>
      </c>
      <c r="B572" s="25" t="inlineStr">
        <is>
          <t>mericle</t>
        </is>
      </c>
      <c r="C572" s="36" t="inlineStr">
        <is>
          <t>C</t>
        </is>
      </c>
      <c r="D572" s="26" t="inlineStr">
        <is>
          <t>毛球修剪器</t>
        </is>
      </c>
      <c r="E572" s="26" t="inlineStr">
        <is>
          <t>毛球修剪器</t>
        </is>
      </c>
      <c r="F572" s="26" t="inlineStr">
        <is>
          <t>Mericle/毛球修剪器/绿色/0318</t>
        </is>
      </c>
      <c r="G572" s="26" t="inlineStr">
        <is>
          <t>MQXJQ-07</t>
        </is>
      </c>
      <c r="H572" s="29" t="n">
        <v>8</v>
      </c>
      <c r="I572" s="25" t="inlineStr">
        <is>
          <t>¥6–9</t>
        </is>
      </c>
      <c r="J572" s="29" t="n">
        <v>6</v>
      </c>
      <c r="K572" s="29" t="n">
        <v>16</v>
      </c>
      <c r="L572" s="37" t="n">
        <v>2</v>
      </c>
      <c r="M572" s="28" t="n">
        <v>4.99</v>
      </c>
      <c r="N572" s="32" t="inlineStr">
        <is>
          <t>谨慎试水：少量上架测款，只有当月出单才补货；重点写清「瑕疵/为什么低价」</t>
        </is>
      </c>
    </row>
    <row r="573">
      <c r="A573" s="25" t="n">
        <v>571</v>
      </c>
      <c r="B573" s="25" t="inlineStr">
        <is>
          <t>mericle</t>
        </is>
      </c>
      <c r="C573" s="36" t="inlineStr">
        <is>
          <t>C</t>
        </is>
      </c>
      <c r="D573" s="26" t="inlineStr">
        <is>
          <t>毛球修剪器</t>
        </is>
      </c>
      <c r="E573" s="26" t="inlineStr">
        <is>
          <t>毛球修剪器</t>
        </is>
      </c>
      <c r="F573" s="26" t="inlineStr">
        <is>
          <t>Mericle/毛球修剪器/藕粉色/MQXJQ-01</t>
        </is>
      </c>
      <c r="G573" s="26" t="inlineStr">
        <is>
          <t>MQXJQ-10</t>
        </is>
      </c>
      <c r="H573" s="29" t="n">
        <v>8</v>
      </c>
      <c r="I573" s="25" t="inlineStr">
        <is>
          <t>¥6–9</t>
        </is>
      </c>
      <c r="J573" s="29" t="n">
        <v>6</v>
      </c>
      <c r="K573" s="29" t="n">
        <v>16</v>
      </c>
      <c r="L573" s="37" t="n">
        <v>2</v>
      </c>
      <c r="M573" s="28" t="n">
        <v>4.99</v>
      </c>
      <c r="N573" s="32" t="inlineStr">
        <is>
          <t>谨慎试水：少量上架测款，只有当月出单才补货；重点写清「瑕疵/为什么低价」</t>
        </is>
      </c>
    </row>
    <row r="574">
      <c r="A574" s="25" t="n">
        <v>572</v>
      </c>
      <c r="B574" s="25" t="inlineStr">
        <is>
          <t>通货</t>
        </is>
      </c>
      <c r="C574" s="36" t="inlineStr">
        <is>
          <t>C</t>
        </is>
      </c>
      <c r="D574" s="26" t="inlineStr">
        <is>
          <t>毛球修剪器</t>
        </is>
      </c>
      <c r="E574" s="26" t="inlineStr">
        <is>
          <t>毛球修剪器</t>
        </is>
      </c>
      <c r="F574" s="26" t="inlineStr">
        <is>
          <t>毛球修剪器/白色</t>
        </is>
      </c>
      <c r="G574" s="26" t="inlineStr">
        <is>
          <t>MQXJQ-04</t>
        </is>
      </c>
      <c r="H574" s="29" t="n">
        <v>8</v>
      </c>
      <c r="I574" s="25" t="inlineStr">
        <is>
          <t>¥6–9</t>
        </is>
      </c>
      <c r="J574" s="29" t="n">
        <v>6</v>
      </c>
      <c r="K574" s="29" t="n">
        <v>16</v>
      </c>
      <c r="L574" s="37" t="n">
        <v>2</v>
      </c>
      <c r="M574" s="28" t="n">
        <v>4.99</v>
      </c>
      <c r="N574" s="32" t="inlineStr">
        <is>
          <t>谨慎试水：少量上架测款，只有当月出单才补货；重点写清「瑕疵/为什么低价」</t>
        </is>
      </c>
    </row>
    <row r="575">
      <c r="A575" s="25" t="n">
        <v>573</v>
      </c>
      <c r="B575" s="25" t="inlineStr">
        <is>
          <t>通货</t>
        </is>
      </c>
      <c r="C575" s="36" t="inlineStr">
        <is>
          <t>C</t>
        </is>
      </c>
      <c r="D575" s="26" t="inlineStr">
        <is>
          <t>毛球修剪器</t>
        </is>
      </c>
      <c r="E575" s="26" t="inlineStr">
        <is>
          <t>毛球修剪器</t>
        </is>
      </c>
      <c r="F575" s="26" t="inlineStr">
        <is>
          <t>毛球修剪器/绿色</t>
        </is>
      </c>
      <c r="G575" s="26" t="inlineStr">
        <is>
          <t>MQXJQ-05</t>
        </is>
      </c>
      <c r="H575" s="29" t="n">
        <v>8</v>
      </c>
      <c r="I575" s="25" t="inlineStr">
        <is>
          <t>¥6–9</t>
        </is>
      </c>
      <c r="J575" s="29" t="n">
        <v>6</v>
      </c>
      <c r="K575" s="29" t="n">
        <v>16</v>
      </c>
      <c r="L575" s="37" t="n">
        <v>2</v>
      </c>
      <c r="M575" s="28" t="n">
        <v>4.99</v>
      </c>
      <c r="N575" s="32" t="inlineStr">
        <is>
          <t>谨慎试水：少量上架测款，只有当月出单才补货；重点写清「瑕疵/为什么低价」</t>
        </is>
      </c>
    </row>
    <row r="576">
      <c r="A576" s="25" t="n">
        <v>574</v>
      </c>
      <c r="B576" s="25" t="inlineStr">
        <is>
          <t>夏新</t>
        </is>
      </c>
      <c r="C576" s="36" t="inlineStr">
        <is>
          <t>C</t>
        </is>
      </c>
      <c r="D576" s="26" t="inlineStr">
        <is>
          <t>毛球修剪器</t>
        </is>
      </c>
      <c r="E576" s="26" t="inlineStr">
        <is>
          <t>毛球修剪器</t>
        </is>
      </c>
      <c r="F576" s="26" t="inlineStr">
        <is>
          <t>夏新/毛球修剪器/RSD-A061/米白色</t>
        </is>
      </c>
      <c r="G576" s="26" t="inlineStr">
        <is>
          <t>MQXJQ-08</t>
        </is>
      </c>
      <c r="H576" s="29" t="n">
        <v>8</v>
      </c>
      <c r="I576" s="25" t="inlineStr">
        <is>
          <t>¥6–9</t>
        </is>
      </c>
      <c r="J576" s="29" t="n">
        <v>6</v>
      </c>
      <c r="K576" s="29" t="n">
        <v>16</v>
      </c>
      <c r="L576" s="37" t="n">
        <v>2</v>
      </c>
      <c r="M576" s="28" t="n">
        <v>4.99</v>
      </c>
      <c r="N576" s="32" t="inlineStr">
        <is>
          <t>谨慎试水：少量上架测款，只有当月出单才补货；重点写清「瑕疵/为什么低价」</t>
        </is>
      </c>
    </row>
    <row r="577">
      <c r="A577" s="25" t="n">
        <v>575</v>
      </c>
      <c r="B577" s="25" t="inlineStr">
        <is>
          <t>夏新</t>
        </is>
      </c>
      <c r="C577" s="36" t="inlineStr">
        <is>
          <t>C</t>
        </is>
      </c>
      <c r="D577" s="26" t="inlineStr">
        <is>
          <t>毛球修剪器</t>
        </is>
      </c>
      <c r="E577" s="26" t="inlineStr">
        <is>
          <t>毛球修剪器</t>
        </is>
      </c>
      <c r="F577" s="26" t="inlineStr">
        <is>
          <t>夏新/毛球修剪器/RSD-A061/紫色</t>
        </is>
      </c>
      <c r="G577" s="26" t="inlineStr">
        <is>
          <t>MQXJQ-09</t>
        </is>
      </c>
      <c r="H577" s="29" t="n">
        <v>8</v>
      </c>
      <c r="I577" s="25" t="inlineStr">
        <is>
          <t>¥6–9</t>
        </is>
      </c>
      <c r="J577" s="29" t="n">
        <v>6</v>
      </c>
      <c r="K577" s="29" t="n">
        <v>16</v>
      </c>
      <c r="L577" s="37" t="n">
        <v>2</v>
      </c>
      <c r="M577" s="28" t="n">
        <v>4.99</v>
      </c>
      <c r="N577" s="32" t="inlineStr">
        <is>
          <t>谨慎试水：少量上架测款，只有当月出单才补货；重点写清「瑕疵/为什么低价」</t>
        </is>
      </c>
    </row>
    <row r="578">
      <c r="A578" s="25" t="n">
        <v>576</v>
      </c>
      <c r="B578" s="25" t="inlineStr">
        <is>
          <t>mericle</t>
        </is>
      </c>
      <c r="C578" s="36" t="inlineStr">
        <is>
          <t>C</t>
        </is>
      </c>
      <c r="D578" s="26" t="inlineStr">
        <is>
          <t>家禽拔毛器</t>
        </is>
      </c>
      <c r="E578" s="26" t="inlineStr">
        <is>
          <t>家禽拔毛器</t>
        </is>
      </c>
      <c r="F578" s="26" t="inlineStr">
        <is>
          <t>Mericle/家禽BMQ/黑色</t>
        </is>
      </c>
      <c r="G578" s="26" t="inlineStr">
        <is>
          <t>Mericle-BMQ-H</t>
        </is>
      </c>
      <c r="H578" s="29" t="n">
        <v>20</v>
      </c>
      <c r="I578" s="25" t="inlineStr">
        <is>
          <t>¥15–24</t>
        </is>
      </c>
      <c r="J578" s="29" t="n">
        <v>14</v>
      </c>
      <c r="K578" s="29" t="n">
        <v>35</v>
      </c>
      <c r="L578" s="37" t="n">
        <v>2</v>
      </c>
      <c r="M578" s="28" t="n">
        <v>4.89</v>
      </c>
      <c r="N578" s="32" t="inlineStr">
        <is>
          <t>谨慎试水：少量上架测款，只有当月出单才补货；重点写清「瑕疵/为什么低价」</t>
        </is>
      </c>
    </row>
    <row r="579">
      <c r="A579" s="25" t="n">
        <v>577</v>
      </c>
      <c r="B579" s="25" t="inlineStr">
        <is>
          <t>mericle</t>
        </is>
      </c>
      <c r="C579" s="36" t="inlineStr">
        <is>
          <t>C</t>
        </is>
      </c>
      <c r="D579" s="26" t="inlineStr">
        <is>
          <t>食材净化机</t>
        </is>
      </c>
      <c r="E579" s="26" t="inlineStr">
        <is>
          <t>食材净化器</t>
        </is>
      </c>
      <c r="F579" s="26" t="inlineStr">
        <is>
          <t>Mericle/果蔬清洗机/白色/MLK-804</t>
        </is>
      </c>
      <c r="G579" s="26" t="inlineStr">
        <is>
          <t>GSQXJ-01</t>
        </is>
      </c>
      <c r="H579" s="29" t="n">
        <v>12</v>
      </c>
      <c r="I579" s="25" t="inlineStr">
        <is>
          <t>¥11–14</t>
        </is>
      </c>
      <c r="J579" s="29" t="n">
        <v>10</v>
      </c>
      <c r="K579" s="29" t="n">
        <v>60</v>
      </c>
      <c r="L579" s="37" t="n">
        <v>2</v>
      </c>
      <c r="M579" s="28" t="n">
        <v>4.86</v>
      </c>
      <c r="N579" s="32" t="inlineStr">
        <is>
          <t>谨慎试水：少量上架测款，只有当月出单才补货；重点写清「瑕疵/为什么低价」</t>
        </is>
      </c>
    </row>
    <row r="580">
      <c r="A580" s="25" t="n">
        <v>578</v>
      </c>
      <c r="B580" s="25" t="inlineStr">
        <is>
          <t>mericle</t>
        </is>
      </c>
      <c r="C580" s="36" t="inlineStr">
        <is>
          <t>C</t>
        </is>
      </c>
      <c r="D580" s="26" t="inlineStr">
        <is>
          <t>食材净化机</t>
        </is>
      </c>
      <c r="E580" s="26" t="inlineStr">
        <is>
          <t>食材净化器</t>
        </is>
      </c>
      <c r="F580" s="26" t="inlineStr">
        <is>
          <t>Mericle/果蔬清洗机/绿色/MLK-804</t>
        </is>
      </c>
      <c r="G580" s="26" t="inlineStr">
        <is>
          <t>GSQXJ-02</t>
        </is>
      </c>
      <c r="H580" s="29" t="n">
        <v>12</v>
      </c>
      <c r="I580" s="25" t="inlineStr">
        <is>
          <t>¥11–14</t>
        </is>
      </c>
      <c r="J580" s="29" t="n">
        <v>10</v>
      </c>
      <c r="K580" s="29" t="n">
        <v>60</v>
      </c>
      <c r="L580" s="37" t="n">
        <v>2</v>
      </c>
      <c r="M580" s="28" t="n">
        <v>4.86</v>
      </c>
      <c r="N580" s="32" t="inlineStr">
        <is>
          <t>谨慎试水：少量上架测款，只有当月出单才补货；重点写清「瑕疵/为什么低价」</t>
        </is>
      </c>
    </row>
    <row r="581">
      <c r="A581" s="25" t="n">
        <v>579</v>
      </c>
      <c r="B581" s="25" t="inlineStr">
        <is>
          <t>mericle</t>
        </is>
      </c>
      <c r="C581" s="36" t="inlineStr">
        <is>
          <t>C</t>
        </is>
      </c>
      <c r="D581" s="26" t="inlineStr">
        <is>
          <t>食材净化机</t>
        </is>
      </c>
      <c r="E581" s="26" t="inlineStr">
        <is>
          <t>食材净化器</t>
        </is>
      </c>
      <c r="F581" s="26" t="inlineStr">
        <is>
          <t>Mericle/食材净化器/绿色/JY-304</t>
        </is>
      </c>
      <c r="G581" s="26" t="inlineStr">
        <is>
          <t>GSQXJ-03</t>
        </is>
      </c>
      <c r="H581" s="29" t="n">
        <v>12</v>
      </c>
      <c r="I581" s="25" t="inlineStr">
        <is>
          <t>¥11–14</t>
        </is>
      </c>
      <c r="J581" s="29" t="n">
        <v>10</v>
      </c>
      <c r="K581" s="29" t="n">
        <v>60</v>
      </c>
      <c r="L581" s="37" t="n">
        <v>2</v>
      </c>
      <c r="M581" s="28" t="n">
        <v>4.86</v>
      </c>
      <c r="N581" s="32" t="inlineStr">
        <is>
          <t>谨慎试水：少量上架测款，只有当月出单才补货；重点写清「瑕疵/为什么低价」</t>
        </is>
      </c>
    </row>
    <row r="582">
      <c r="A582" s="25" t="n">
        <v>580</v>
      </c>
      <c r="B582" s="25" t="inlineStr">
        <is>
          <t>mericle</t>
        </is>
      </c>
      <c r="C582" s="36" t="inlineStr">
        <is>
          <t>C</t>
        </is>
      </c>
      <c r="D582" s="26" t="inlineStr">
        <is>
          <t>艾灸盒</t>
        </is>
      </c>
      <c r="E582" s="26" t="inlineStr">
        <is>
          <t>艾灸盒</t>
        </is>
      </c>
      <c r="F582" s="26" t="inlineStr">
        <is>
          <t>Mericle/艾灸盒/YX-2432</t>
        </is>
      </c>
      <c r="G582" s="26" t="inlineStr">
        <is>
          <t>AJH-01</t>
        </is>
      </c>
      <c r="H582" s="29" t="n">
        <v>16</v>
      </c>
      <c r="I582" s="25" t="inlineStr">
        <is>
          <t>¥15–17</t>
        </is>
      </c>
      <c r="J582" s="29" t="n">
        <v>14</v>
      </c>
      <c r="K582" s="29" t="n">
        <v>20</v>
      </c>
      <c r="L582" s="37" t="n">
        <v>2</v>
      </c>
      <c r="M582" s="28" t="n">
        <v>4.85</v>
      </c>
      <c r="N582" s="32" t="inlineStr">
        <is>
          <t>谨慎试水：少量上架测款，只有当月出单才补货；重点写清「瑕疵/为什么低价」</t>
        </is>
      </c>
    </row>
    <row r="583">
      <c r="A583" s="25" t="n">
        <v>581</v>
      </c>
      <c r="B583" s="25" t="inlineStr">
        <is>
          <t>通货</t>
        </is>
      </c>
      <c r="C583" s="36" t="inlineStr">
        <is>
          <t>C</t>
        </is>
      </c>
      <c r="D583" s="26" t="inlineStr">
        <is>
          <t>明目护眼液</t>
        </is>
      </c>
      <c r="E583" s="26" t="inlineStr">
        <is>
          <t>龙胆珍珠明目护眼液</t>
        </is>
      </c>
      <c r="F583" s="26" t="inlineStr">
        <is>
          <t>护眼液/5只装</t>
        </is>
      </c>
      <c r="G583" s="26" t="inlineStr">
        <is>
          <t>HYY-01</t>
        </is>
      </c>
      <c r="H583" s="29" t="n">
        <v>12</v>
      </c>
      <c r="I583" s="25" t="inlineStr">
        <is>
          <t>¥9–15</t>
        </is>
      </c>
      <c r="J583" s="29" t="n">
        <v>9</v>
      </c>
      <c r="K583" s="29" t="n">
        <v>38</v>
      </c>
      <c r="L583" s="37" t="n">
        <v>2.5</v>
      </c>
      <c r="M583" s="28" t="n">
        <v>4.79</v>
      </c>
      <c r="N583" s="32" t="inlineStr">
        <is>
          <t>谨慎试水：少量上架测款，只有当月出单才补货；重点写清「瑕疵/为什么低价」</t>
        </is>
      </c>
    </row>
    <row r="584">
      <c r="A584" s="25" t="n">
        <v>582</v>
      </c>
      <c r="B584" s="25" t="inlineStr">
        <is>
          <t>mericle</t>
        </is>
      </c>
      <c r="C584" s="36" t="inlineStr">
        <is>
          <t>C</t>
        </is>
      </c>
      <c r="D584" s="26" t="inlineStr">
        <is>
          <t>暖宫护腰带</t>
        </is>
      </c>
      <c r="E584" s="26" t="inlineStr">
        <is>
          <t>mericle暖宫护腰带</t>
        </is>
      </c>
      <c r="F584" s="26" t="inlineStr">
        <is>
          <t>暖宫宝-白</t>
        </is>
      </c>
      <c r="G584" s="26" t="inlineStr">
        <is>
          <t>Mericle-NGBB</t>
        </is>
      </c>
      <c r="H584" s="29" t="n">
        <v>28</v>
      </c>
      <c r="I584" s="25" t="inlineStr">
        <is>
          <t>¥19–36</t>
        </is>
      </c>
      <c r="J584" s="29" t="n">
        <v>18</v>
      </c>
      <c r="K584" s="29" t="n">
        <v>49</v>
      </c>
      <c r="L584" s="37" t="n">
        <v>1.5</v>
      </c>
      <c r="M584" s="28" t="n">
        <v>4.77</v>
      </c>
      <c r="N584" s="32" t="inlineStr">
        <is>
          <t>谨慎试水：少量上架测款，只有当月出单才补货；重点写清「瑕疵/为什么低价」</t>
        </is>
      </c>
    </row>
    <row r="585">
      <c r="A585" s="25" t="n">
        <v>583</v>
      </c>
      <c r="B585" s="25" t="inlineStr">
        <is>
          <t>mericle</t>
        </is>
      </c>
      <c r="C585" s="36" t="inlineStr">
        <is>
          <t>C</t>
        </is>
      </c>
      <c r="D585" s="26" t="inlineStr">
        <is>
          <t>暖宫护腰带</t>
        </is>
      </c>
      <c r="E585" s="26" t="inlineStr">
        <is>
          <t>mericle暖宫护腰带</t>
        </is>
      </c>
      <c r="F585" s="26" t="inlineStr">
        <is>
          <t>暖宫宝-粉</t>
        </is>
      </c>
      <c r="G585" s="26" t="inlineStr">
        <is>
          <t>Mericle-NGBF</t>
        </is>
      </c>
      <c r="H585" s="29" t="n">
        <v>28</v>
      </c>
      <c r="I585" s="25" t="inlineStr">
        <is>
          <t>¥19–36</t>
        </is>
      </c>
      <c r="J585" s="29" t="n">
        <v>18</v>
      </c>
      <c r="K585" s="29" t="n">
        <v>49</v>
      </c>
      <c r="L585" s="37" t="n">
        <v>1.5</v>
      </c>
      <c r="M585" s="28" t="n">
        <v>4.77</v>
      </c>
      <c r="N585" s="32" t="inlineStr">
        <is>
          <t>谨慎试水：少量上架测款，只有当月出单才补货；重点写清「瑕疵/为什么低价」</t>
        </is>
      </c>
    </row>
    <row r="586">
      <c r="A586" s="25" t="n">
        <v>584</v>
      </c>
      <c r="B586" s="25" t="inlineStr">
        <is>
          <t>mericle</t>
        </is>
      </c>
      <c r="C586" s="36" t="inlineStr">
        <is>
          <t>C</t>
        </is>
      </c>
      <c r="D586" s="26" t="inlineStr">
        <is>
          <t>暖宫护腰带</t>
        </is>
      </c>
      <c r="E586" s="26" t="inlineStr">
        <is>
          <t>mericle暖宫护腰带</t>
        </is>
      </c>
      <c r="F586" s="26" t="inlineStr">
        <is>
          <t>暖宫宝-白礼盒装</t>
        </is>
      </c>
      <c r="G586" s="26" t="inlineStr">
        <is>
          <t>Mericle-NGBBLH</t>
        </is>
      </c>
      <c r="H586" s="29" t="n">
        <v>28</v>
      </c>
      <c r="I586" s="25" t="inlineStr">
        <is>
          <t>¥19–36</t>
        </is>
      </c>
      <c r="J586" s="29" t="n">
        <v>18</v>
      </c>
      <c r="K586" s="29" t="n">
        <v>49</v>
      </c>
      <c r="L586" s="37" t="n">
        <v>1.5</v>
      </c>
      <c r="M586" s="28" t="n">
        <v>4.77</v>
      </c>
      <c r="N586" s="32" t="inlineStr">
        <is>
          <t>谨慎试水：少量上架测款，只有当月出单才补货；重点写清「瑕疵/为什么低价」</t>
        </is>
      </c>
    </row>
    <row r="587">
      <c r="A587" s="25" t="n">
        <v>585</v>
      </c>
      <c r="B587" s="25" t="inlineStr">
        <is>
          <t>mericle</t>
        </is>
      </c>
      <c r="C587" s="36" t="inlineStr">
        <is>
          <t>C</t>
        </is>
      </c>
      <c r="D587" s="26" t="inlineStr">
        <is>
          <t>暖宫护腰带</t>
        </is>
      </c>
      <c r="E587" s="26" t="inlineStr">
        <is>
          <t>mericle暖宫护腰带</t>
        </is>
      </c>
      <c r="F587" s="26" t="inlineStr">
        <is>
          <t>暖宫宝-粉礼盒装</t>
        </is>
      </c>
      <c r="G587" s="26" t="inlineStr">
        <is>
          <t>Mericle-NGBFLH</t>
        </is>
      </c>
      <c r="H587" s="29" t="n">
        <v>28</v>
      </c>
      <c r="I587" s="25" t="inlineStr">
        <is>
          <t>¥19–36</t>
        </is>
      </c>
      <c r="J587" s="29" t="n">
        <v>18</v>
      </c>
      <c r="K587" s="29" t="n">
        <v>49</v>
      </c>
      <c r="L587" s="37" t="n">
        <v>1.5</v>
      </c>
      <c r="M587" s="28" t="n">
        <v>4.77</v>
      </c>
      <c r="N587" s="32" t="inlineStr">
        <is>
          <t>谨慎试水：少量上架测款，只有当月出单才补货；重点写清「瑕疵/为什么低价」</t>
        </is>
      </c>
    </row>
    <row r="588">
      <c r="A588" s="25" t="n">
        <v>586</v>
      </c>
      <c r="B588" s="25" t="inlineStr">
        <is>
          <t>mericle</t>
        </is>
      </c>
      <c r="C588" s="36" t="inlineStr">
        <is>
          <t>C</t>
        </is>
      </c>
      <c r="D588" s="26" t="inlineStr">
        <is>
          <t>暖宫护腰带</t>
        </is>
      </c>
      <c r="E588" s="26" t="inlineStr">
        <is>
          <t>mericle暖宫护腰带</t>
        </is>
      </c>
      <c r="F588" s="26" t="inlineStr">
        <is>
          <t>暧宫宝的士小黄鸭/礼盒装</t>
        </is>
      </c>
      <c r="G588" s="26" t="inlineStr">
        <is>
          <t>NGB-06</t>
        </is>
      </c>
      <c r="H588" s="29" t="n">
        <v>28</v>
      </c>
      <c r="I588" s="25" t="inlineStr">
        <is>
          <t>¥19–36</t>
        </is>
      </c>
      <c r="J588" s="29" t="n">
        <v>18</v>
      </c>
      <c r="K588" s="29" t="n">
        <v>49</v>
      </c>
      <c r="L588" s="37" t="n">
        <v>1.5</v>
      </c>
      <c r="M588" s="28" t="n">
        <v>4.77</v>
      </c>
      <c r="N588" s="32" t="inlineStr">
        <is>
          <t>谨慎试水：少量上架测款，只有当月出单才补货；重点写清「瑕疵/为什么低价」</t>
        </is>
      </c>
    </row>
    <row r="589">
      <c r="A589" s="25" t="n">
        <v>587</v>
      </c>
      <c r="B589" s="25" t="inlineStr">
        <is>
          <t>mericle</t>
        </is>
      </c>
      <c r="C589" s="36" t="inlineStr">
        <is>
          <t>C</t>
        </is>
      </c>
      <c r="D589" s="26" t="inlineStr">
        <is>
          <t>暖宫护腰带</t>
        </is>
      </c>
      <c r="E589" s="26" t="inlineStr">
        <is>
          <t>mericle暖宫护腰带</t>
        </is>
      </c>
      <c r="F589" s="26" t="inlineStr">
        <is>
          <t>暖宫宝的士小黄鸭单装</t>
        </is>
      </c>
      <c r="G589" s="26" t="inlineStr">
        <is>
          <t>NGB-08</t>
        </is>
      </c>
      <c r="H589" s="29" t="n">
        <v>28</v>
      </c>
      <c r="I589" s="25" t="inlineStr">
        <is>
          <t>¥19–36</t>
        </is>
      </c>
      <c r="J589" s="29" t="n">
        <v>18</v>
      </c>
      <c r="K589" s="29" t="n">
        <v>49</v>
      </c>
      <c r="L589" s="37" t="n">
        <v>1.5</v>
      </c>
      <c r="M589" s="28" t="n">
        <v>4.77</v>
      </c>
      <c r="N589" s="32" t="inlineStr">
        <is>
          <t>谨慎试水：少量上架测款，只有当月出单才补货；重点写清「瑕疵/为什么低价」</t>
        </is>
      </c>
    </row>
    <row r="590">
      <c r="A590" s="25" t="n">
        <v>588</v>
      </c>
      <c r="B590" s="25" t="inlineStr">
        <is>
          <t>mericle</t>
        </is>
      </c>
      <c r="C590" s="36" t="inlineStr">
        <is>
          <t>C</t>
        </is>
      </c>
      <c r="D590" s="26" t="inlineStr">
        <is>
          <t>暖宫护腰带</t>
        </is>
      </c>
      <c r="E590" s="26" t="inlineStr">
        <is>
          <t>mericle暖宫护腰带</t>
        </is>
      </c>
      <c r="F590" s="26" t="inlineStr">
        <is>
          <t>暧宫宝老虎小黄鸭/礼盒装</t>
        </is>
      </c>
      <c r="G590" s="26" t="inlineStr">
        <is>
          <t>NGB-05</t>
        </is>
      </c>
      <c r="H590" s="29" t="n">
        <v>28</v>
      </c>
      <c r="I590" s="25" t="inlineStr">
        <is>
          <t>¥19–36</t>
        </is>
      </c>
      <c r="J590" s="29" t="n">
        <v>18</v>
      </c>
      <c r="K590" s="29" t="n">
        <v>49</v>
      </c>
      <c r="L590" s="37" t="n">
        <v>1.5</v>
      </c>
      <c r="M590" s="28" t="n">
        <v>4.77</v>
      </c>
      <c r="N590" s="32" t="inlineStr">
        <is>
          <t>谨慎试水：少量上架测款，只有当月出单才补货；重点写清「瑕疵/为什么低价」</t>
        </is>
      </c>
    </row>
    <row r="591">
      <c r="A591" s="25" t="n">
        <v>589</v>
      </c>
      <c r="B591" s="25" t="inlineStr">
        <is>
          <t>mericle</t>
        </is>
      </c>
      <c r="C591" s="36" t="inlineStr">
        <is>
          <t>C</t>
        </is>
      </c>
      <c r="D591" s="26" t="inlineStr">
        <is>
          <t>暖宫护腰带</t>
        </is>
      </c>
      <c r="E591" s="26" t="inlineStr">
        <is>
          <t>护腰带</t>
        </is>
      </c>
      <c r="F591" s="26" t="inlineStr">
        <is>
          <t>mericle/护腰带/L码</t>
        </is>
      </c>
      <c r="G591" s="26" t="inlineStr">
        <is>
          <t>Mericle-HYD-01</t>
        </is>
      </c>
      <c r="H591" s="29" t="n">
        <v>28</v>
      </c>
      <c r="I591" s="25" t="inlineStr">
        <is>
          <t>¥19–36</t>
        </is>
      </c>
      <c r="J591" s="29" t="n">
        <v>18</v>
      </c>
      <c r="K591" s="29" t="n">
        <v>49</v>
      </c>
      <c r="L591" s="37" t="n">
        <v>1.5</v>
      </c>
      <c r="M591" s="28" t="n">
        <v>4.77</v>
      </c>
      <c r="N591" s="32" t="inlineStr">
        <is>
          <t>谨慎试水：少量上架测款，只有当月出单才补货；重点写清「瑕疵/为什么低价」</t>
        </is>
      </c>
    </row>
    <row r="592">
      <c r="A592" s="25" t="n">
        <v>590</v>
      </c>
      <c r="B592" s="25" t="inlineStr">
        <is>
          <t>mericle</t>
        </is>
      </c>
      <c r="C592" s="36" t="inlineStr">
        <is>
          <t>C</t>
        </is>
      </c>
      <c r="D592" s="26" t="inlineStr">
        <is>
          <t>暖宫护腰带</t>
        </is>
      </c>
      <c r="E592" s="26" t="inlineStr">
        <is>
          <t>护腰带</t>
        </is>
      </c>
      <c r="F592" s="26" t="inlineStr">
        <is>
          <t>mericle/护腰带/S码</t>
        </is>
      </c>
      <c r="G592" s="26" t="inlineStr">
        <is>
          <t>Mericle-HYD-02</t>
        </is>
      </c>
      <c r="H592" s="29" t="n">
        <v>28</v>
      </c>
      <c r="I592" s="25" t="inlineStr">
        <is>
          <t>¥19–36</t>
        </is>
      </c>
      <c r="J592" s="29" t="n">
        <v>18</v>
      </c>
      <c r="K592" s="29" t="n">
        <v>49</v>
      </c>
      <c r="L592" s="37" t="n">
        <v>1.5</v>
      </c>
      <c r="M592" s="28" t="n">
        <v>4.77</v>
      </c>
      <c r="N592" s="32" t="inlineStr">
        <is>
          <t>谨慎试水：少量上架测款，只有当月出单才补货；重点写清「瑕疵/为什么低价」</t>
        </is>
      </c>
    </row>
    <row r="593">
      <c r="A593" s="25" t="n">
        <v>591</v>
      </c>
      <c r="B593" s="25" t="inlineStr">
        <is>
          <t>mericle</t>
        </is>
      </c>
      <c r="C593" s="36" t="inlineStr">
        <is>
          <t>C</t>
        </is>
      </c>
      <c r="D593" s="26" t="inlineStr">
        <is>
          <t>暖宫护腰带</t>
        </is>
      </c>
      <c r="E593" s="26" t="inlineStr">
        <is>
          <t>护腰带</t>
        </is>
      </c>
      <c r="F593" s="26" t="inlineStr">
        <is>
          <t>mericle/护腰带/XL码</t>
        </is>
      </c>
      <c r="G593" s="26" t="inlineStr">
        <is>
          <t>Mericle-HYD-03</t>
        </is>
      </c>
      <c r="H593" s="29" t="n">
        <v>28</v>
      </c>
      <c r="I593" s="25" t="inlineStr">
        <is>
          <t>¥19–36</t>
        </is>
      </c>
      <c r="J593" s="29" t="n">
        <v>18</v>
      </c>
      <c r="K593" s="29" t="n">
        <v>49</v>
      </c>
      <c r="L593" s="37" t="n">
        <v>1.5</v>
      </c>
      <c r="M593" s="28" t="n">
        <v>4.77</v>
      </c>
      <c r="N593" s="32" t="inlineStr">
        <is>
          <t>谨慎试水：少量上架测款，只有当月出单才补货；重点写清「瑕疵/为什么低价」</t>
        </is>
      </c>
    </row>
    <row r="594">
      <c r="A594" s="25" t="n">
        <v>592</v>
      </c>
      <c r="B594" s="25" t="inlineStr">
        <is>
          <t>mericle</t>
        </is>
      </c>
      <c r="C594" s="36" t="inlineStr">
        <is>
          <t>C</t>
        </is>
      </c>
      <c r="D594" s="26" t="inlineStr">
        <is>
          <t>暖宫护腰带</t>
        </is>
      </c>
      <c r="E594" s="26" t="inlineStr">
        <is>
          <t>按摩器(按摩带)</t>
        </is>
      </c>
      <c r="F594" s="26" t="inlineStr">
        <is>
          <t>Mericle/小熊暖宫宝/粉色</t>
        </is>
      </c>
      <c r="G594" s="26" t="inlineStr">
        <is>
          <t>NGB-12</t>
        </is>
      </c>
      <c r="H594" s="29" t="n">
        <v>28</v>
      </c>
      <c r="I594" s="25" t="inlineStr">
        <is>
          <t>¥19–36</t>
        </is>
      </c>
      <c r="J594" s="29" t="n">
        <v>18</v>
      </c>
      <c r="K594" s="29" t="n">
        <v>49</v>
      </c>
      <c r="L594" s="37" t="n">
        <v>1.5</v>
      </c>
      <c r="M594" s="28" t="n">
        <v>4.77</v>
      </c>
      <c r="N594" s="32" t="inlineStr">
        <is>
          <t>谨慎试水：少量上架测款，只有当月出单才补货；重点写清「瑕疵/为什么低价」</t>
        </is>
      </c>
    </row>
    <row r="595">
      <c r="A595" s="25" t="n">
        <v>593</v>
      </c>
      <c r="B595" s="25" t="inlineStr">
        <is>
          <t>mericle</t>
        </is>
      </c>
      <c r="C595" s="36" t="inlineStr">
        <is>
          <t>C</t>
        </is>
      </c>
      <c r="D595" s="26" t="inlineStr">
        <is>
          <t>暖宫护腰带</t>
        </is>
      </c>
      <c r="E595" s="26" t="inlineStr">
        <is>
          <t>按摩器(按摩带)</t>
        </is>
      </c>
      <c r="F595" s="26" t="inlineStr">
        <is>
          <t>Mericle/小熊暖宫宝/咖色</t>
        </is>
      </c>
      <c r="G595" s="26" t="inlineStr">
        <is>
          <t>NGB-13</t>
        </is>
      </c>
      <c r="H595" s="29" t="n">
        <v>28</v>
      </c>
      <c r="I595" s="25" t="inlineStr">
        <is>
          <t>¥19–36</t>
        </is>
      </c>
      <c r="J595" s="29" t="n">
        <v>18</v>
      </c>
      <c r="K595" s="29" t="n">
        <v>49</v>
      </c>
      <c r="L595" s="37" t="n">
        <v>1.5</v>
      </c>
      <c r="M595" s="28" t="n">
        <v>4.77</v>
      </c>
      <c r="N595" s="32" t="inlineStr">
        <is>
          <t>谨慎试水：少量上架测款，只有当月出单才补货；重点写清「瑕疵/为什么低价」</t>
        </is>
      </c>
    </row>
    <row r="596">
      <c r="A596" s="25" t="n">
        <v>594</v>
      </c>
      <c r="B596" s="25" t="inlineStr">
        <is>
          <t>mericle</t>
        </is>
      </c>
      <c r="C596" s="36" t="inlineStr">
        <is>
          <t>C</t>
        </is>
      </c>
      <c r="D596" s="26" t="inlineStr">
        <is>
          <t>暖宫护腰带</t>
        </is>
      </c>
      <c r="E596" s="26" t="inlineStr">
        <is>
          <t>暖宫宝</t>
        </is>
      </c>
      <c r="F596" s="26" t="inlineStr">
        <is>
          <t>Mericle/暖腰带/粉色</t>
        </is>
      </c>
      <c r="G596" s="26" t="inlineStr">
        <is>
          <t>NYD-01</t>
        </is>
      </c>
      <c r="H596" s="29" t="n">
        <v>28</v>
      </c>
      <c r="I596" s="25" t="inlineStr">
        <is>
          <t>¥19–36</t>
        </is>
      </c>
      <c r="J596" s="29" t="n">
        <v>18</v>
      </c>
      <c r="K596" s="29" t="n">
        <v>49</v>
      </c>
      <c r="L596" s="37" t="n">
        <v>1.5</v>
      </c>
      <c r="M596" s="28" t="n">
        <v>4.77</v>
      </c>
      <c r="N596" s="32" t="inlineStr">
        <is>
          <t>谨慎试水：少量上架测款，只有当月出单才补货；重点写清「瑕疵/为什么低价」</t>
        </is>
      </c>
    </row>
    <row r="597">
      <c r="A597" s="25" t="n">
        <v>595</v>
      </c>
      <c r="B597" s="25" t="inlineStr">
        <is>
          <t>mericle</t>
        </is>
      </c>
      <c r="C597" s="36" t="inlineStr">
        <is>
          <t>C</t>
        </is>
      </c>
      <c r="D597" s="26" t="inlineStr">
        <is>
          <t>眼部护理仪</t>
        </is>
      </c>
      <c r="E597" s="26" t="inlineStr">
        <is>
          <t>视力保护器</t>
        </is>
      </c>
      <c r="F597" s="26" t="inlineStr">
        <is>
          <t>Mericle/视力保护器/紫色</t>
        </is>
      </c>
      <c r="G597" s="26" t="inlineStr">
        <is>
          <t>M-SLBHQ-Z</t>
        </is>
      </c>
      <c r="H597" s="29" t="n">
        <v>16</v>
      </c>
      <c r="I597" s="25" t="inlineStr">
        <is>
          <t>¥15–18</t>
        </is>
      </c>
      <c r="J597" s="29" t="n">
        <v>14</v>
      </c>
      <c r="K597" s="29" t="n">
        <v>23</v>
      </c>
      <c r="L597" s="37" t="n">
        <v>1.5</v>
      </c>
      <c r="M597" s="28" t="n">
        <v>4.72</v>
      </c>
      <c r="N597" s="32" t="inlineStr">
        <is>
          <t>谨慎试水：少量上架测款，只有当月出单才补货；重点写清「瑕疵/为什么低价」</t>
        </is>
      </c>
    </row>
    <row r="598">
      <c r="A598" s="25" t="n">
        <v>596</v>
      </c>
      <c r="B598" s="25" t="inlineStr">
        <is>
          <t>mericle</t>
        </is>
      </c>
      <c r="C598" s="36" t="inlineStr">
        <is>
          <t>C</t>
        </is>
      </c>
      <c r="D598" s="26" t="inlineStr">
        <is>
          <t>眼部护理仪</t>
        </is>
      </c>
      <c r="E598" s="26" t="inlineStr">
        <is>
          <t>视力保护器</t>
        </is>
      </c>
      <c r="F598" s="26" t="inlineStr">
        <is>
          <t>Mericle/视力保护器/绿色</t>
        </is>
      </c>
      <c r="G598" s="26" t="inlineStr">
        <is>
          <t>M-SLBHQ-L</t>
        </is>
      </c>
      <c r="H598" s="29" t="n">
        <v>16</v>
      </c>
      <c r="I598" s="25" t="inlineStr">
        <is>
          <t>¥15–18</t>
        </is>
      </c>
      <c r="J598" s="29" t="n">
        <v>14</v>
      </c>
      <c r="K598" s="29" t="n">
        <v>23</v>
      </c>
      <c r="L598" s="37" t="n">
        <v>1.5</v>
      </c>
      <c r="M598" s="28" t="n">
        <v>4.72</v>
      </c>
      <c r="N598" s="32" t="inlineStr">
        <is>
          <t>谨慎试水：少量上架测款，只有当月出单才补货；重点写清「瑕疵/为什么低价」</t>
        </is>
      </c>
    </row>
    <row r="599">
      <c r="A599" s="25" t="n">
        <v>597</v>
      </c>
      <c r="B599" s="25" t="inlineStr">
        <is>
          <t>mericle</t>
        </is>
      </c>
      <c r="C599" s="36" t="inlineStr">
        <is>
          <t>C</t>
        </is>
      </c>
      <c r="D599" s="26" t="inlineStr">
        <is>
          <t>眼部护理仪</t>
        </is>
      </c>
      <c r="E599" s="26" t="inlineStr">
        <is>
          <t>视力保护器</t>
        </is>
      </c>
      <c r="F599" s="26" t="inlineStr">
        <is>
          <t>Mericle/视力保护器/米白色</t>
        </is>
      </c>
      <c r="G599" s="26" t="inlineStr">
        <is>
          <t>M-SLBHQ-B</t>
        </is>
      </c>
      <c r="H599" s="29" t="n">
        <v>16</v>
      </c>
      <c r="I599" s="25" t="inlineStr">
        <is>
          <t>¥15–18</t>
        </is>
      </c>
      <c r="J599" s="29" t="n">
        <v>14</v>
      </c>
      <c r="K599" s="29" t="n">
        <v>23</v>
      </c>
      <c r="L599" s="37" t="n">
        <v>1.5</v>
      </c>
      <c r="M599" s="28" t="n">
        <v>4.72</v>
      </c>
      <c r="N599" s="32" t="inlineStr">
        <is>
          <t>谨慎试水：少量上架测款，只有当月出单才补货；重点写清「瑕疵/为什么低价」</t>
        </is>
      </c>
    </row>
    <row r="600">
      <c r="A600" s="25" t="n">
        <v>598</v>
      </c>
      <c r="B600" s="25" t="inlineStr">
        <is>
          <t>现代</t>
        </is>
      </c>
      <c r="C600" s="36" t="inlineStr">
        <is>
          <t>C</t>
        </is>
      </c>
      <c r="D600" s="26" t="inlineStr">
        <is>
          <t>眼部护理仪</t>
        </is>
      </c>
      <c r="E600" s="26" t="inlineStr">
        <is>
          <t>便携式眼部护理仪</t>
        </is>
      </c>
      <c r="F600" s="26" t="inlineStr">
        <is>
          <t>现代/护眼仪/白色</t>
        </is>
      </c>
      <c r="G600" s="26" t="inlineStr">
        <is>
          <t>XD-HYY-B</t>
        </is>
      </c>
      <c r="H600" s="29" t="n">
        <v>16</v>
      </c>
      <c r="I600" s="25" t="inlineStr">
        <is>
          <t>¥15–18</t>
        </is>
      </c>
      <c r="J600" s="29" t="n">
        <v>14</v>
      </c>
      <c r="K600" s="29" t="n">
        <v>23</v>
      </c>
      <c r="L600" s="37" t="n">
        <v>1.5</v>
      </c>
      <c r="M600" s="28" t="n">
        <v>4.72</v>
      </c>
      <c r="N600" s="32" t="inlineStr">
        <is>
          <t>谨慎试水：少量上架测款，只有当月出单才补货；重点写清「瑕疵/为什么低价」</t>
        </is>
      </c>
    </row>
    <row r="601">
      <c r="A601" s="25" t="n">
        <v>599</v>
      </c>
      <c r="B601" s="25" t="inlineStr">
        <is>
          <t>现代</t>
        </is>
      </c>
      <c r="C601" s="36" t="inlineStr">
        <is>
          <t>C</t>
        </is>
      </c>
      <c r="D601" s="26" t="inlineStr">
        <is>
          <t>眼部护理仪</t>
        </is>
      </c>
      <c r="E601" s="26" t="inlineStr">
        <is>
          <t>便携式眼部护理仪</t>
        </is>
      </c>
      <c r="F601" s="26" t="inlineStr">
        <is>
          <t>现代/护眼仪/绿色</t>
        </is>
      </c>
      <c r="G601" s="26" t="inlineStr">
        <is>
          <t>XD-HYY-L</t>
        </is>
      </c>
      <c r="H601" s="29" t="n">
        <v>16</v>
      </c>
      <c r="I601" s="25" t="inlineStr">
        <is>
          <t>¥15–18</t>
        </is>
      </c>
      <c r="J601" s="29" t="n">
        <v>14</v>
      </c>
      <c r="K601" s="29" t="n">
        <v>23</v>
      </c>
      <c r="L601" s="37" t="n">
        <v>1.5</v>
      </c>
      <c r="M601" s="28" t="n">
        <v>4.72</v>
      </c>
      <c r="N601" s="32" t="inlineStr">
        <is>
          <t>谨慎试水：少量上架测款，只有当月出单才补货；重点写清「瑕疵/为什么低价」</t>
        </is>
      </c>
    </row>
    <row r="602">
      <c r="A602" s="25" t="n">
        <v>600</v>
      </c>
      <c r="B602" s="25" t="inlineStr">
        <is>
          <t>mericle</t>
        </is>
      </c>
      <c r="C602" s="36" t="inlineStr">
        <is>
          <t>C</t>
        </is>
      </c>
      <c r="D602" s="26" t="inlineStr">
        <is>
          <t>口腔护理慕斯</t>
        </is>
      </c>
      <c r="E602" s="26" t="inlineStr">
        <is>
          <t>纯沐雅/儿童口腔护理慕斯</t>
        </is>
      </c>
      <c r="F602" s="26" t="inlineStr">
        <is>
          <t>纯沐雅/儿童口腔护理慕斯</t>
        </is>
      </c>
      <c r="G602" s="26" t="inlineStr">
        <is>
          <t>CMY-RTMS</t>
        </is>
      </c>
      <c r="H602" s="29" t="n">
        <v>10</v>
      </c>
      <c r="I602" s="25" t="inlineStr">
        <is>
          <t>¥9–12</t>
        </is>
      </c>
      <c r="J602" s="29" t="n">
        <v>9</v>
      </c>
      <c r="K602" s="29" t="n">
        <v>16</v>
      </c>
      <c r="L602" s="37" t="n">
        <v>2</v>
      </c>
      <c r="M602" s="28" t="n">
        <v>4.65</v>
      </c>
      <c r="N602" s="32" t="inlineStr">
        <is>
          <t>谨慎试水：少量上架测款，只有当月出单才补货；重点写清「瑕疵/为什么低价」</t>
        </is>
      </c>
    </row>
    <row r="603">
      <c r="A603" s="25" t="n">
        <v>601</v>
      </c>
      <c r="B603" s="25" t="inlineStr">
        <is>
          <t>美悟</t>
        </is>
      </c>
      <c r="C603" s="36" t="inlineStr">
        <is>
          <t>C</t>
        </is>
      </c>
      <c r="D603" s="26" t="inlineStr">
        <is>
          <t>口腔护理慕斯</t>
        </is>
      </c>
      <c r="E603" s="26" t="inlineStr">
        <is>
          <t>纯沐雅/儿童口腔护理慕斯</t>
        </is>
      </c>
      <c r="F603" s="26" t="inlineStr">
        <is>
          <t>纯沐雅/儿童口腔护理慕斯</t>
        </is>
      </c>
      <c r="G603" s="26" t="inlineStr">
        <is>
          <t>CMY-RTMS</t>
        </is>
      </c>
      <c r="H603" s="29" t="n">
        <v>10</v>
      </c>
      <c r="I603" s="25" t="inlineStr">
        <is>
          <t>¥9–12</t>
        </is>
      </c>
      <c r="J603" s="29" t="n">
        <v>9</v>
      </c>
      <c r="K603" s="29" t="n">
        <v>16</v>
      </c>
      <c r="L603" s="37" t="n">
        <v>2</v>
      </c>
      <c r="M603" s="28" t="n">
        <v>4.65</v>
      </c>
      <c r="N603" s="32" t="inlineStr">
        <is>
          <t>谨慎试水：少量上架测款，只有当月出单才补货；重点写清「瑕疵/为什么低价」</t>
        </is>
      </c>
    </row>
    <row r="604">
      <c r="A604" s="25" t="n">
        <v>602</v>
      </c>
      <c r="B604" s="25" t="inlineStr">
        <is>
          <t>mericle</t>
        </is>
      </c>
      <c r="C604" s="34" t="inlineStr">
        <is>
          <t>D</t>
        </is>
      </c>
      <c r="D604" s="26" t="inlineStr">
        <is>
          <t>配件周边</t>
        </is>
      </c>
      <c r="E604" s="26" t="inlineStr">
        <is>
          <t>/</t>
        </is>
      </c>
      <c r="F604" s="26" t="inlineStr">
        <is>
          <t>Mericle/二代清洁刷/配件</t>
        </is>
      </c>
      <c r="G604" s="26" t="inlineStr">
        <is>
          <t>Mericle-QJS-02</t>
        </is>
      </c>
      <c r="H604" s="29" t="n">
        <v>20</v>
      </c>
      <c r="I604" s="25" t="inlineStr">
        <is>
          <t>¥16–23</t>
        </is>
      </c>
      <c r="J604" s="29" t="n">
        <v>15</v>
      </c>
      <c r="K604" s="29" t="n">
        <v>37</v>
      </c>
      <c r="L604" s="37" t="n">
        <v>13</v>
      </c>
      <c r="M604" s="28" t="n">
        <v>6.85</v>
      </c>
      <c r="N604" s="32" t="inlineStr">
        <is>
          <t>不建议投入：合规/售后/需求三重风险，优先出库存或转做搭售赠品</t>
        </is>
      </c>
    </row>
    <row r="605">
      <c r="A605" s="25" t="n">
        <v>603</v>
      </c>
      <c r="B605" s="25" t="inlineStr">
        <is>
          <t>mericle</t>
        </is>
      </c>
      <c r="C605" s="34" t="inlineStr">
        <is>
          <t>D</t>
        </is>
      </c>
      <c r="D605" s="26" t="inlineStr">
        <is>
          <t>配件周边</t>
        </is>
      </c>
      <c r="E605" s="26" t="inlineStr">
        <is>
          <t>/</t>
        </is>
      </c>
      <c r="F605" s="26" t="inlineStr">
        <is>
          <t>Mericle/礼盒</t>
        </is>
      </c>
      <c r="G605" s="26" t="inlineStr">
        <is>
          <t>NGB-14</t>
        </is>
      </c>
      <c r="H605" s="29" t="n">
        <v>20</v>
      </c>
      <c r="I605" s="25" t="inlineStr">
        <is>
          <t>¥16–23</t>
        </is>
      </c>
      <c r="J605" s="29" t="n">
        <v>15</v>
      </c>
      <c r="K605" s="29" t="n">
        <v>37</v>
      </c>
      <c r="L605" s="37" t="n">
        <v>13</v>
      </c>
      <c r="M605" s="28" t="n">
        <v>6.85</v>
      </c>
      <c r="N605" s="32" t="inlineStr">
        <is>
          <t>不建议投入：合规/售后/需求三重风险，优先出库存或转做搭售赠品</t>
        </is>
      </c>
    </row>
    <row r="606">
      <c r="A606" s="25" t="n">
        <v>604</v>
      </c>
      <c r="B606" s="25" t="inlineStr">
        <is>
          <t>mericle</t>
        </is>
      </c>
      <c r="C606" s="34" t="inlineStr">
        <is>
          <t>D</t>
        </is>
      </c>
      <c r="D606" s="26" t="inlineStr">
        <is>
          <t>配件周边</t>
        </is>
      </c>
      <c r="E606" s="26" t="inlineStr">
        <is>
          <t>/</t>
        </is>
      </c>
      <c r="F606" s="26" t="inlineStr">
        <is>
          <t>Mericle/手提袋</t>
        </is>
      </c>
      <c r="G606" s="26" t="inlineStr">
        <is>
          <t>NGB-15</t>
        </is>
      </c>
      <c r="H606" s="29" t="n">
        <v>20</v>
      </c>
      <c r="I606" s="25" t="inlineStr">
        <is>
          <t>¥16–23</t>
        </is>
      </c>
      <c r="J606" s="29" t="n">
        <v>15</v>
      </c>
      <c r="K606" s="29" t="n">
        <v>37</v>
      </c>
      <c r="L606" s="37" t="n">
        <v>13</v>
      </c>
      <c r="M606" s="28" t="n">
        <v>6.85</v>
      </c>
      <c r="N606" s="32" t="inlineStr">
        <is>
          <t>不建议投入：合规/售后/需求三重风险，优先出库存或转做搭售赠品</t>
        </is>
      </c>
    </row>
    <row r="607">
      <c r="A607" s="25" t="n">
        <v>605</v>
      </c>
      <c r="B607" s="25" t="inlineStr">
        <is>
          <t>康佳</t>
        </is>
      </c>
      <c r="C607" s="34" t="inlineStr">
        <is>
          <t>D</t>
        </is>
      </c>
      <c r="D607" s="26" t="inlineStr">
        <is>
          <t>配件周边</t>
        </is>
      </c>
      <c r="E607" s="26" t="inlineStr">
        <is>
          <t>/</t>
        </is>
      </c>
      <c r="F607" s="26" t="inlineStr">
        <is>
          <t>透明罐</t>
        </is>
      </c>
      <c r="G607" s="26" t="inlineStr">
        <is>
          <t>TMG-01</t>
        </is>
      </c>
      <c r="H607" s="29" t="n">
        <v>20</v>
      </c>
      <c r="I607" s="25" t="inlineStr">
        <is>
          <t>¥16–23</t>
        </is>
      </c>
      <c r="J607" s="29" t="n">
        <v>15</v>
      </c>
      <c r="K607" s="29" t="n">
        <v>37</v>
      </c>
      <c r="L607" s="37" t="n">
        <v>13</v>
      </c>
      <c r="M607" s="28" t="n">
        <v>6.85</v>
      </c>
      <c r="N607" s="32" t="inlineStr">
        <is>
          <t>不建议投入：合规/售后/需求三重风险，优先出库存或转做搭售赠品</t>
        </is>
      </c>
    </row>
  </sheetData>
  <autoFilter ref="A2:N607"/>
  <mergeCells count="1">
    <mergeCell ref="A1:N1"/>
  </mergeCells>
  <conditionalFormatting sqref="C3:C60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"B"</formula>
    </cfRule>
    <cfRule type="cellIs" priority="4" operator="equal" dxfId="3">
      <formula>"C"</formula>
    </cfRule>
    <cfRule type="cellIs" priority="5" operator="equal" dxfId="4">
      <formula>"D"</formula>
    </cfRule>
  </conditionalFormatting>
  <conditionalFormatting sqref="H3:H607">
    <cfRule type="cellIs" priority="6" operator="lessThan" dxfId="5">
      <formula>J3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ED7D31"/>
    <outlinePr summaryBelow="1" summaryRight="1"/>
    <pageSetUpPr/>
  </sheetPr>
  <dimension ref="A1:K9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9" customWidth="1" min="10" max="10"/>
    <col width="11" customWidth="1" min="11" max="11"/>
  </cols>
  <sheetData>
    <row r="1" ht="26" customHeight="1">
      <c r="A1" s="23" t="inlineStr">
        <is>
          <t>品牌 × 品类供给矩阵（数字=该品牌该品类 SKU 数，空白=无货，可作差异化选品方向）</t>
        </is>
      </c>
    </row>
    <row r="2" ht="30" customHeight="1">
      <c r="A2" s="24" t="inlineStr">
        <is>
          <t>品类</t>
        </is>
      </c>
      <c r="B2" s="24" t="inlineStr">
        <is>
          <t>评级</t>
        </is>
      </c>
      <c r="C2" s="24" t="inlineStr">
        <is>
          <t>mericle</t>
        </is>
      </c>
      <c r="D2" s="24" t="inlineStr">
        <is>
          <t>夏新</t>
        </is>
      </c>
      <c r="E2" s="24" t="inlineStr">
        <is>
          <t>奥克斯</t>
        </is>
      </c>
      <c r="F2" s="24" t="inlineStr">
        <is>
          <t>康佳</t>
        </is>
      </c>
      <c r="G2" s="24" t="inlineStr">
        <is>
          <t>现代</t>
        </is>
      </c>
      <c r="H2" s="24" t="inlineStr">
        <is>
          <t>美悟</t>
        </is>
      </c>
      <c r="I2" s="24" t="inlineStr">
        <is>
          <t>通货</t>
        </is>
      </c>
      <c r="J2" s="24" t="inlineStr">
        <is>
          <t>合计</t>
        </is>
      </c>
      <c r="K2" s="24" t="inlineStr">
        <is>
          <t>建议售价</t>
        </is>
      </c>
    </row>
    <row r="3">
      <c r="A3" s="38" t="inlineStr">
        <is>
          <t>便携迷你剃须刀</t>
        </is>
      </c>
      <c r="B3" s="39" t="inlineStr">
        <is>
          <t>B</t>
        </is>
      </c>
      <c r="C3" s="40" t="n">
        <v>20</v>
      </c>
      <c r="D3" s="40" t="n">
        <v>23</v>
      </c>
      <c r="E3" s="40" t="n">
        <v>2</v>
      </c>
      <c r="F3" s="40" t="n">
        <v>45</v>
      </c>
      <c r="G3" s="40" t="n">
        <v>1</v>
      </c>
      <c r="H3" s="40" t="n">
        <v>0</v>
      </c>
      <c r="I3" s="40" t="n">
        <v>0</v>
      </c>
      <c r="J3" s="41">
        <f>SUM(C3:I3)</f>
        <v>91.0</v>
      </c>
      <c r="K3" s="42" t="n"/>
    </row>
    <row r="4">
      <c r="A4" s="38" t="inlineStr">
        <is>
          <t>鼻毛修剪器</t>
        </is>
      </c>
      <c r="B4" s="39" t="inlineStr">
        <is>
          <t>B</t>
        </is>
      </c>
      <c r="C4" s="40" t="n">
        <v>15</v>
      </c>
      <c r="D4" s="40" t="n">
        <v>1</v>
      </c>
      <c r="E4" s="40" t="n">
        <v>0</v>
      </c>
      <c r="F4" s="40" t="n">
        <v>23</v>
      </c>
      <c r="G4" s="40" t="n">
        <v>3</v>
      </c>
      <c r="H4" s="40" t="n">
        <v>1</v>
      </c>
      <c r="I4" s="40" t="n">
        <v>0</v>
      </c>
      <c r="J4" s="41">
        <f>SUM(C4:I4)</f>
        <v>43.0</v>
      </c>
      <c r="K4" s="42" t="n"/>
    </row>
    <row r="5">
      <c r="A5" s="38" t="inlineStr">
        <is>
          <t>电动剃须刀</t>
        </is>
      </c>
      <c r="B5" s="39" t="inlineStr">
        <is>
          <t>B</t>
        </is>
      </c>
      <c r="C5" s="40" t="n">
        <v>15</v>
      </c>
      <c r="D5" s="40" t="n">
        <v>4</v>
      </c>
      <c r="E5" s="40" t="n">
        <v>0</v>
      </c>
      <c r="F5" s="40" t="n">
        <v>7</v>
      </c>
      <c r="G5" s="40" t="n">
        <v>0</v>
      </c>
      <c r="H5" s="40" t="n">
        <v>2</v>
      </c>
      <c r="I5" s="40" t="n">
        <v>3</v>
      </c>
      <c r="J5" s="41">
        <f>SUM(C5:I5)</f>
        <v>31.0</v>
      </c>
      <c r="K5" s="42" t="n"/>
    </row>
    <row r="6">
      <c r="A6" s="38" t="inlineStr">
        <is>
          <t>电动剃毛器</t>
        </is>
      </c>
      <c r="B6" s="39" t="inlineStr">
        <is>
          <t>C</t>
        </is>
      </c>
      <c r="C6" s="40" t="n">
        <v>15</v>
      </c>
      <c r="D6" s="40" t="n">
        <v>0</v>
      </c>
      <c r="E6" s="40" t="n">
        <v>0</v>
      </c>
      <c r="F6" s="40" t="n">
        <v>13</v>
      </c>
      <c r="G6" s="40" t="n">
        <v>0</v>
      </c>
      <c r="H6" s="40" t="n">
        <v>0</v>
      </c>
      <c r="I6" s="40" t="n">
        <v>0</v>
      </c>
      <c r="J6" s="41">
        <f>SUM(C6:I6)</f>
        <v>28.0</v>
      </c>
      <c r="K6" s="42" t="n"/>
    </row>
    <row r="7">
      <c r="A7" s="38" t="inlineStr">
        <is>
          <t>理发器</t>
        </is>
      </c>
      <c r="B7" s="39" t="inlineStr">
        <is>
          <t>B</t>
        </is>
      </c>
      <c r="C7" s="40" t="n">
        <v>3</v>
      </c>
      <c r="D7" s="40" t="n">
        <v>0</v>
      </c>
      <c r="E7" s="40" t="n">
        <v>0</v>
      </c>
      <c r="F7" s="40" t="n">
        <v>21</v>
      </c>
      <c r="G7" s="40" t="n">
        <v>0</v>
      </c>
      <c r="H7" s="40" t="n">
        <v>0</v>
      </c>
      <c r="I7" s="40" t="n">
        <v>2</v>
      </c>
      <c r="J7" s="41">
        <f>SUM(C7:I7)</f>
        <v>26.0</v>
      </c>
      <c r="K7" s="42" t="n"/>
    </row>
    <row r="8">
      <c r="A8" s="38" t="inlineStr">
        <is>
          <t>电动磨脚器</t>
        </is>
      </c>
      <c r="B8" s="39" t="inlineStr">
        <is>
          <t>B</t>
        </is>
      </c>
      <c r="C8" s="40" t="n">
        <v>10</v>
      </c>
      <c r="D8" s="40" t="n">
        <v>3</v>
      </c>
      <c r="E8" s="40" t="n">
        <v>0</v>
      </c>
      <c r="F8" s="40" t="n">
        <v>8</v>
      </c>
      <c r="G8" s="40" t="n">
        <v>0</v>
      </c>
      <c r="H8" s="40" t="n">
        <v>3</v>
      </c>
      <c r="I8" s="40" t="n">
        <v>1</v>
      </c>
      <c r="J8" s="41">
        <f>SUM(C8:I8)</f>
        <v>25.0</v>
      </c>
      <c r="K8" s="42" t="n"/>
    </row>
    <row r="9">
      <c r="A9" s="38" t="inlineStr">
        <is>
          <t>直发梳</t>
        </is>
      </c>
      <c r="B9" s="39" t="inlineStr">
        <is>
          <t>B</t>
        </is>
      </c>
      <c r="C9" s="40" t="n">
        <v>15</v>
      </c>
      <c r="D9" s="40" t="n">
        <v>0</v>
      </c>
      <c r="E9" s="40" t="n">
        <v>0</v>
      </c>
      <c r="F9" s="40" t="n">
        <v>8</v>
      </c>
      <c r="G9" s="40" t="n">
        <v>0</v>
      </c>
      <c r="H9" s="40" t="n">
        <v>1</v>
      </c>
      <c r="I9" s="40" t="n">
        <v>1</v>
      </c>
      <c r="J9" s="41">
        <f>SUM(C9:I9)</f>
        <v>25.0</v>
      </c>
      <c r="K9" s="42" t="n"/>
    </row>
    <row r="10">
      <c r="A10" s="38" t="inlineStr">
        <is>
          <t>剃须刀刀头</t>
        </is>
      </c>
      <c r="B10" s="39" t="inlineStr">
        <is>
          <t>S</t>
        </is>
      </c>
      <c r="C10" s="40" t="n">
        <v>11</v>
      </c>
      <c r="D10" s="40" t="n">
        <v>3</v>
      </c>
      <c r="E10" s="40" t="n">
        <v>0</v>
      </c>
      <c r="F10" s="40" t="n">
        <v>8</v>
      </c>
      <c r="G10" s="40" t="n">
        <v>1</v>
      </c>
      <c r="H10" s="40" t="n">
        <v>0</v>
      </c>
      <c r="I10" s="40" t="n">
        <v>0</v>
      </c>
      <c r="J10" s="41">
        <f>SUM(C10:I10)</f>
        <v>23.0</v>
      </c>
      <c r="K10" s="42" t="n"/>
    </row>
    <row r="11">
      <c r="A11" s="38" t="inlineStr">
        <is>
          <t>矫姿带</t>
        </is>
      </c>
      <c r="B11" s="39" t="inlineStr">
        <is>
          <t>C</t>
        </is>
      </c>
      <c r="C11" s="40" t="n">
        <v>19</v>
      </c>
      <c r="D11" s="40" t="n">
        <v>0</v>
      </c>
      <c r="E11" s="40" t="n">
        <v>0</v>
      </c>
      <c r="F11" s="40" t="n">
        <v>0</v>
      </c>
      <c r="G11" s="40" t="n">
        <v>0</v>
      </c>
      <c r="H11" s="40" t="n">
        <v>0</v>
      </c>
      <c r="I11" s="40" t="n">
        <v>0</v>
      </c>
      <c r="J11" s="41">
        <f>SUM(C11:I11)</f>
        <v>19.0</v>
      </c>
      <c r="K11" s="42" t="n"/>
    </row>
    <row r="12">
      <c r="A12" s="38" t="inlineStr">
        <is>
          <t>电动牙刷</t>
        </is>
      </c>
      <c r="B12" s="39" t="inlineStr">
        <is>
          <t>B</t>
        </is>
      </c>
      <c r="C12" s="40" t="n">
        <v>1</v>
      </c>
      <c r="D12" s="40" t="n">
        <v>0</v>
      </c>
      <c r="E12" s="40" t="n">
        <v>0</v>
      </c>
      <c r="F12" s="40" t="n">
        <v>7</v>
      </c>
      <c r="G12" s="40" t="n">
        <v>0</v>
      </c>
      <c r="H12" s="40" t="n">
        <v>7</v>
      </c>
      <c r="I12" s="40" t="n">
        <v>0</v>
      </c>
      <c r="J12" s="41">
        <f>SUM(C12:I12)</f>
        <v>15.0</v>
      </c>
      <c r="K12" s="42" t="n"/>
    </row>
    <row r="13">
      <c r="A13" s="38" t="inlineStr">
        <is>
          <t>电动睫毛卷</t>
        </is>
      </c>
      <c r="B13" s="39" t="inlineStr">
        <is>
          <t>B</t>
        </is>
      </c>
      <c r="C13" s="40" t="n">
        <v>9</v>
      </c>
      <c r="D13" s="40" t="n">
        <v>0</v>
      </c>
      <c r="E13" s="40" t="n">
        <v>0</v>
      </c>
      <c r="F13" s="40" t="n">
        <v>0</v>
      </c>
      <c r="G13" s="40" t="n">
        <v>0</v>
      </c>
      <c r="H13" s="40" t="n">
        <v>5</v>
      </c>
      <c r="I13" s="40" t="n">
        <v>0</v>
      </c>
      <c r="J13" s="41">
        <f>SUM(C13:I13)</f>
        <v>14.0</v>
      </c>
      <c r="K13" s="42" t="n"/>
    </row>
    <row r="14">
      <c r="A14" s="38" t="inlineStr">
        <is>
          <t>车载吸尘器</t>
        </is>
      </c>
      <c r="B14" s="39" t="inlineStr">
        <is>
          <t>B</t>
        </is>
      </c>
      <c r="C14" s="40" t="n">
        <v>11</v>
      </c>
      <c r="D14" s="40" t="n">
        <v>0</v>
      </c>
      <c r="E14" s="40" t="n">
        <v>0</v>
      </c>
      <c r="F14" s="40" t="n">
        <v>0</v>
      </c>
      <c r="G14" s="40" t="n">
        <v>1</v>
      </c>
      <c r="H14" s="40" t="n">
        <v>2</v>
      </c>
      <c r="I14" s="40" t="n">
        <v>0</v>
      </c>
      <c r="J14" s="41">
        <f>SUM(C14:I14)</f>
        <v>14.0</v>
      </c>
      <c r="K14" s="42" t="n"/>
    </row>
    <row r="15">
      <c r="A15" s="38" t="inlineStr">
        <is>
          <t>暖宫护腰带</t>
        </is>
      </c>
      <c r="B15" s="39" t="inlineStr">
        <is>
          <t>C</t>
        </is>
      </c>
      <c r="C15" s="40" t="n">
        <v>13</v>
      </c>
      <c r="D15" s="40" t="n">
        <v>0</v>
      </c>
      <c r="E15" s="40" t="n">
        <v>0</v>
      </c>
      <c r="F15" s="40" t="n">
        <v>0</v>
      </c>
      <c r="G15" s="40" t="n">
        <v>0</v>
      </c>
      <c r="H15" s="40" t="n">
        <v>0</v>
      </c>
      <c r="I15" s="40" t="n">
        <v>0</v>
      </c>
      <c r="J15" s="41">
        <f>SUM(C15:I15)</f>
        <v>13.0</v>
      </c>
      <c r="K15" s="42" t="n"/>
    </row>
    <row r="16">
      <c r="A16" s="38" t="inlineStr">
        <is>
          <t>筋膜环</t>
        </is>
      </c>
      <c r="B16" s="39" t="inlineStr">
        <is>
          <t>B</t>
        </is>
      </c>
      <c r="C16" s="40" t="n">
        <v>8</v>
      </c>
      <c r="D16" s="40" t="n">
        <v>0</v>
      </c>
      <c r="E16" s="40" t="n">
        <v>0</v>
      </c>
      <c r="F16" s="40" t="n">
        <v>4</v>
      </c>
      <c r="G16" s="40" t="n">
        <v>0</v>
      </c>
      <c r="H16" s="40" t="n">
        <v>0</v>
      </c>
      <c r="I16" s="40" t="n">
        <v>0</v>
      </c>
      <c r="J16" s="41">
        <f>SUM(C16:I16)</f>
        <v>12.0</v>
      </c>
      <c r="K16" s="42" t="n"/>
    </row>
    <row r="17">
      <c r="A17" s="38" t="inlineStr">
        <is>
          <t>超声波洁牙器</t>
        </is>
      </c>
      <c r="B17" s="39" t="inlineStr">
        <is>
          <t>B</t>
        </is>
      </c>
      <c r="C17" s="40" t="n">
        <v>6</v>
      </c>
      <c r="D17" s="40" t="n">
        <v>0</v>
      </c>
      <c r="E17" s="40" t="n">
        <v>0</v>
      </c>
      <c r="F17" s="40" t="n">
        <v>0</v>
      </c>
      <c r="G17" s="40" t="n">
        <v>0</v>
      </c>
      <c r="H17" s="40" t="n">
        <v>4</v>
      </c>
      <c r="I17" s="40" t="n">
        <v>1</v>
      </c>
      <c r="J17" s="41">
        <f>SUM(C17:I17)</f>
        <v>11.0</v>
      </c>
      <c r="K17" s="42" t="n"/>
    </row>
    <row r="18">
      <c r="A18" s="38" t="inlineStr">
        <is>
          <t>肩颈按摩器</t>
        </is>
      </c>
      <c r="B18" s="39" t="inlineStr">
        <is>
          <t>B</t>
        </is>
      </c>
      <c r="C18" s="40" t="n">
        <v>3</v>
      </c>
      <c r="D18" s="40" t="n">
        <v>0</v>
      </c>
      <c r="E18" s="40" t="n">
        <v>0</v>
      </c>
      <c r="F18" s="40" t="n">
        <v>6</v>
      </c>
      <c r="G18" s="40" t="n">
        <v>0</v>
      </c>
      <c r="H18" s="40" t="n">
        <v>0</v>
      </c>
      <c r="I18" s="40" t="n">
        <v>1</v>
      </c>
      <c r="J18" s="41">
        <f>SUM(C18:I18)</f>
        <v>10.0</v>
      </c>
      <c r="K18" s="42" t="n"/>
    </row>
    <row r="19">
      <c r="A19" s="38" t="inlineStr">
        <is>
          <t>冲牙器</t>
        </is>
      </c>
      <c r="B19" s="39" t="inlineStr">
        <is>
          <t>B</t>
        </is>
      </c>
      <c r="C19" s="40" t="n">
        <v>6</v>
      </c>
      <c r="D19" s="40" t="n">
        <v>3</v>
      </c>
      <c r="E19" s="40" t="n">
        <v>0</v>
      </c>
      <c r="F19" s="40" t="n">
        <v>0</v>
      </c>
      <c r="G19" s="40" t="n">
        <v>0</v>
      </c>
      <c r="H19" s="40" t="n">
        <v>0</v>
      </c>
      <c r="I19" s="40" t="n">
        <v>0</v>
      </c>
      <c r="J19" s="41">
        <f>SUM(C19:I19)</f>
        <v>9.0</v>
      </c>
      <c r="K19" s="42" t="n"/>
    </row>
    <row r="20">
      <c r="A20" s="38" t="inlineStr">
        <is>
          <t>真空封口机</t>
        </is>
      </c>
      <c r="B20" s="39" t="inlineStr">
        <is>
          <t>A</t>
        </is>
      </c>
      <c r="C20" s="40" t="n">
        <v>0</v>
      </c>
      <c r="D20" s="40" t="n">
        <v>9</v>
      </c>
      <c r="E20" s="40" t="n">
        <v>0</v>
      </c>
      <c r="F20" s="40" t="n">
        <v>0</v>
      </c>
      <c r="G20" s="40" t="n">
        <v>0</v>
      </c>
      <c r="H20" s="40" t="n">
        <v>0</v>
      </c>
      <c r="I20" s="40" t="n">
        <v>0</v>
      </c>
      <c r="J20" s="41">
        <f>SUM(C20:I20)</f>
        <v>9.0</v>
      </c>
      <c r="K20" s="42" t="n"/>
    </row>
    <row r="21">
      <c r="A21" s="38" t="inlineStr">
        <is>
          <t>防晒口罩</t>
        </is>
      </c>
      <c r="B21" s="39" t="inlineStr">
        <is>
          <t>A</t>
        </is>
      </c>
      <c r="C21" s="40" t="n">
        <v>3</v>
      </c>
      <c r="D21" s="40" t="n">
        <v>0</v>
      </c>
      <c r="E21" s="40" t="n">
        <v>0</v>
      </c>
      <c r="F21" s="40" t="n">
        <v>0</v>
      </c>
      <c r="G21" s="40" t="n">
        <v>0</v>
      </c>
      <c r="H21" s="40" t="n">
        <v>6</v>
      </c>
      <c r="I21" s="40" t="n">
        <v>0</v>
      </c>
      <c r="J21" s="41">
        <f>SUM(C21:I21)</f>
        <v>9.0</v>
      </c>
      <c r="K21" s="42" t="n"/>
    </row>
    <row r="22">
      <c r="A22" s="38" t="inlineStr">
        <is>
          <t>直发器</t>
        </is>
      </c>
      <c r="B22" s="39" t="inlineStr">
        <is>
          <t>B</t>
        </is>
      </c>
      <c r="C22" s="40" t="n">
        <v>3</v>
      </c>
      <c r="D22" s="40" t="n">
        <v>0</v>
      </c>
      <c r="E22" s="40" t="n">
        <v>0</v>
      </c>
      <c r="F22" s="40" t="n">
        <v>0</v>
      </c>
      <c r="G22" s="40" t="n">
        <v>4</v>
      </c>
      <c r="H22" s="40" t="n">
        <v>1</v>
      </c>
      <c r="I22" s="40" t="n">
        <v>0</v>
      </c>
      <c r="J22" s="41">
        <f>SUM(C22:I22)</f>
        <v>8.0</v>
      </c>
      <c r="K22" s="42" t="n"/>
    </row>
    <row r="23">
      <c r="A23" s="38" t="inlineStr">
        <is>
          <t>毛球修剪器</t>
        </is>
      </c>
      <c r="B23" s="39" t="inlineStr">
        <is>
          <t>C</t>
        </is>
      </c>
      <c r="C23" s="40" t="n">
        <v>3</v>
      </c>
      <c r="D23" s="40" t="n">
        <v>2</v>
      </c>
      <c r="E23" s="40" t="n">
        <v>0</v>
      </c>
      <c r="F23" s="40" t="n">
        <v>0</v>
      </c>
      <c r="G23" s="40" t="n">
        <v>0</v>
      </c>
      <c r="H23" s="40" t="n">
        <v>0</v>
      </c>
      <c r="I23" s="40" t="n">
        <v>2</v>
      </c>
      <c r="J23" s="41">
        <f>SUM(C23:I23)</f>
        <v>7.0</v>
      </c>
      <c r="K23" s="42" t="n"/>
    </row>
    <row r="24">
      <c r="A24" s="38" t="inlineStr">
        <is>
          <t>筋膜按摩贴</t>
        </is>
      </c>
      <c r="B24" s="39" t="inlineStr">
        <is>
          <t>B</t>
        </is>
      </c>
      <c r="C24" s="40" t="n">
        <v>7</v>
      </c>
      <c r="D24" s="40" t="n">
        <v>0</v>
      </c>
      <c r="E24" s="40" t="n">
        <v>0</v>
      </c>
      <c r="F24" s="40" t="n">
        <v>0</v>
      </c>
      <c r="G24" s="40" t="n">
        <v>0</v>
      </c>
      <c r="H24" s="40" t="n">
        <v>0</v>
      </c>
      <c r="I24" s="40" t="n">
        <v>0</v>
      </c>
      <c r="J24" s="41">
        <f>SUM(C24:I24)</f>
        <v>7.0</v>
      </c>
      <c r="K24" s="42" t="n"/>
    </row>
    <row r="25">
      <c r="A25" s="38" t="inlineStr">
        <is>
          <t>美容仪</t>
        </is>
      </c>
      <c r="B25" s="39" t="inlineStr">
        <is>
          <t>B</t>
        </is>
      </c>
      <c r="C25" s="40" t="n">
        <v>7</v>
      </c>
      <c r="D25" s="40" t="n">
        <v>0</v>
      </c>
      <c r="E25" s="40" t="n">
        <v>0</v>
      </c>
      <c r="F25" s="40" t="n">
        <v>0</v>
      </c>
      <c r="G25" s="40" t="n">
        <v>0</v>
      </c>
      <c r="H25" s="40" t="n">
        <v>0</v>
      </c>
      <c r="I25" s="40" t="n">
        <v>0</v>
      </c>
      <c r="J25" s="41">
        <f>SUM(C25:I25)</f>
        <v>7.0</v>
      </c>
      <c r="K25" s="42" t="n"/>
    </row>
    <row r="26">
      <c r="A26" s="38" t="inlineStr">
        <is>
          <t>自动卷发器</t>
        </is>
      </c>
      <c r="B26" s="39" t="inlineStr">
        <is>
          <t>A</t>
        </is>
      </c>
      <c r="C26" s="40" t="n">
        <v>3</v>
      </c>
      <c r="D26" s="40" t="n">
        <v>0</v>
      </c>
      <c r="E26" s="40" t="n">
        <v>0</v>
      </c>
      <c r="F26" s="40" t="n">
        <v>2</v>
      </c>
      <c r="G26" s="40" t="n">
        <v>2</v>
      </c>
      <c r="H26" s="40" t="n">
        <v>0</v>
      </c>
      <c r="I26" s="40" t="n">
        <v>0</v>
      </c>
      <c r="J26" s="41">
        <f>SUM(C26:I26)</f>
        <v>7.0</v>
      </c>
      <c r="K26" s="42" t="n"/>
    </row>
    <row r="27">
      <c r="A27" s="38" t="inlineStr">
        <is>
          <t>修足器磨头</t>
        </is>
      </c>
      <c r="B27" s="39" t="inlineStr">
        <is>
          <t>B</t>
        </is>
      </c>
      <c r="C27" s="40" t="n">
        <v>1</v>
      </c>
      <c r="D27" s="40" t="n">
        <v>1</v>
      </c>
      <c r="E27" s="40" t="n">
        <v>0</v>
      </c>
      <c r="F27" s="40" t="n">
        <v>4</v>
      </c>
      <c r="G27" s="40" t="n">
        <v>0</v>
      </c>
      <c r="H27" s="40" t="n">
        <v>0</v>
      </c>
      <c r="I27" s="40" t="n">
        <v>0</v>
      </c>
      <c r="J27" s="41">
        <f>SUM(C27:I27)</f>
        <v>6.0</v>
      </c>
      <c r="K27" s="42" t="n"/>
    </row>
    <row r="28">
      <c r="A28" s="38" t="inlineStr">
        <is>
          <t>手持吸尘器</t>
        </is>
      </c>
      <c r="B28" s="39" t="inlineStr">
        <is>
          <t>B</t>
        </is>
      </c>
      <c r="C28" s="40" t="n">
        <v>2</v>
      </c>
      <c r="D28" s="40" t="n">
        <v>3</v>
      </c>
      <c r="E28" s="40" t="n">
        <v>0</v>
      </c>
      <c r="F28" s="40" t="n">
        <v>0</v>
      </c>
      <c r="G28" s="40" t="n">
        <v>0</v>
      </c>
      <c r="H28" s="40" t="n">
        <v>1</v>
      </c>
      <c r="I28" s="40" t="n">
        <v>0</v>
      </c>
      <c r="J28" s="41">
        <f>SUM(C28:I28)</f>
        <v>6.0</v>
      </c>
      <c r="K28" s="42" t="n"/>
    </row>
    <row r="29">
      <c r="A29" s="38" t="inlineStr">
        <is>
          <t>牙齿护理仪</t>
        </is>
      </c>
      <c r="B29" s="39" t="inlineStr">
        <is>
          <t>B</t>
        </is>
      </c>
      <c r="C29" s="40" t="n">
        <v>4</v>
      </c>
      <c r="D29" s="40" t="n">
        <v>0</v>
      </c>
      <c r="E29" s="40" t="n">
        <v>0</v>
      </c>
      <c r="F29" s="40" t="n">
        <v>0</v>
      </c>
      <c r="G29" s="40" t="n">
        <v>1</v>
      </c>
      <c r="H29" s="40" t="n">
        <v>0</v>
      </c>
      <c r="I29" s="40" t="n">
        <v>0</v>
      </c>
      <c r="J29" s="41">
        <f>SUM(C29:I29)</f>
        <v>5.0</v>
      </c>
      <c r="K29" s="42" t="n"/>
    </row>
    <row r="30">
      <c r="A30" s="38" t="inlineStr">
        <is>
          <t>眼部护理仪</t>
        </is>
      </c>
      <c r="B30" s="39" t="inlineStr">
        <is>
          <t>C</t>
        </is>
      </c>
      <c r="C30" s="40" t="n">
        <v>3</v>
      </c>
      <c r="D30" s="40" t="n">
        <v>0</v>
      </c>
      <c r="E30" s="40" t="n">
        <v>0</v>
      </c>
      <c r="F30" s="40" t="n">
        <v>0</v>
      </c>
      <c r="G30" s="40" t="n">
        <v>2</v>
      </c>
      <c r="H30" s="40" t="n">
        <v>0</v>
      </c>
      <c r="I30" s="40" t="n">
        <v>0</v>
      </c>
      <c r="J30" s="41">
        <f>SUM(C30:I30)</f>
        <v>5.0</v>
      </c>
      <c r="K30" s="42" t="n"/>
    </row>
    <row r="31">
      <c r="A31" s="38" t="inlineStr">
        <is>
          <t>筋膜枪</t>
        </is>
      </c>
      <c r="B31" s="39" t="inlineStr">
        <is>
          <t>B</t>
        </is>
      </c>
      <c r="C31" s="40" t="n">
        <v>3</v>
      </c>
      <c r="D31" s="40" t="n">
        <v>0</v>
      </c>
      <c r="E31" s="40" t="n">
        <v>0</v>
      </c>
      <c r="F31" s="40" t="n">
        <v>0</v>
      </c>
      <c r="G31" s="40" t="n">
        <v>0</v>
      </c>
      <c r="H31" s="40" t="n">
        <v>0</v>
      </c>
      <c r="I31" s="40" t="n">
        <v>2</v>
      </c>
      <c r="J31" s="41">
        <f>SUM(C31:I31)</f>
        <v>5.0</v>
      </c>
      <c r="K31" s="42" t="n"/>
    </row>
    <row r="32">
      <c r="A32" s="38" t="inlineStr">
        <is>
          <t>黑头仪</t>
        </is>
      </c>
      <c r="B32" s="39" t="inlineStr">
        <is>
          <t>B</t>
        </is>
      </c>
      <c r="C32" s="40" t="n">
        <v>4</v>
      </c>
      <c r="D32" s="40" t="n">
        <v>0</v>
      </c>
      <c r="E32" s="40" t="n">
        <v>0</v>
      </c>
      <c r="F32" s="40" t="n">
        <v>0</v>
      </c>
      <c r="G32" s="40" t="n">
        <v>0</v>
      </c>
      <c r="H32" s="40" t="n">
        <v>1</v>
      </c>
      <c r="I32" s="40" t="n">
        <v>0</v>
      </c>
      <c r="J32" s="41">
        <f>SUM(C32:I32)</f>
        <v>5.0</v>
      </c>
      <c r="K32" s="42" t="n"/>
    </row>
    <row r="33">
      <c r="A33" s="38" t="inlineStr">
        <is>
          <t>电动指甲刀</t>
        </is>
      </c>
      <c r="B33" s="39" t="inlineStr">
        <is>
          <t>C</t>
        </is>
      </c>
      <c r="C33" s="40" t="n">
        <v>2</v>
      </c>
      <c r="D33" s="40" t="n">
        <v>0</v>
      </c>
      <c r="E33" s="40" t="n">
        <v>0</v>
      </c>
      <c r="F33" s="40" t="n">
        <v>0</v>
      </c>
      <c r="G33" s="40" t="n">
        <v>0</v>
      </c>
      <c r="H33" s="40" t="n">
        <v>0</v>
      </c>
      <c r="I33" s="40" t="n">
        <v>2</v>
      </c>
      <c r="J33" s="41">
        <f>SUM(C33:I33)</f>
        <v>4.0</v>
      </c>
      <c r="K33" s="42" t="n"/>
    </row>
    <row r="34">
      <c r="A34" s="38" t="inlineStr">
        <is>
          <t>配件周边</t>
        </is>
      </c>
      <c r="B34" s="39" t="inlineStr">
        <is>
          <t>D</t>
        </is>
      </c>
      <c r="C34" s="40" t="n">
        <v>3</v>
      </c>
      <c r="D34" s="40" t="n">
        <v>0</v>
      </c>
      <c r="E34" s="40" t="n">
        <v>0</v>
      </c>
      <c r="F34" s="40" t="n">
        <v>1</v>
      </c>
      <c r="G34" s="40" t="n">
        <v>0</v>
      </c>
      <c r="H34" s="40" t="n">
        <v>0</v>
      </c>
      <c r="I34" s="40" t="n">
        <v>0</v>
      </c>
      <c r="J34" s="41">
        <f>SUM(C34:I34)</f>
        <v>4.0</v>
      </c>
      <c r="K34" s="42" t="n"/>
    </row>
    <row r="35">
      <c r="A35" s="38" t="inlineStr">
        <is>
          <t>保暖口罩</t>
        </is>
      </c>
      <c r="B35" s="39" t="inlineStr">
        <is>
          <t>A</t>
        </is>
      </c>
      <c r="C35" s="40" t="n">
        <v>0</v>
      </c>
      <c r="D35" s="40" t="n">
        <v>0</v>
      </c>
      <c r="E35" s="40" t="n">
        <v>0</v>
      </c>
      <c r="F35" s="40" t="n">
        <v>0</v>
      </c>
      <c r="G35" s="40" t="n">
        <v>0</v>
      </c>
      <c r="H35" s="40" t="n">
        <v>3</v>
      </c>
      <c r="I35" s="40" t="n">
        <v>0</v>
      </c>
      <c r="J35" s="41">
        <f>SUM(C35:I35)</f>
        <v>3.0</v>
      </c>
      <c r="K35" s="42" t="n"/>
    </row>
    <row r="36">
      <c r="A36" s="38" t="inlineStr">
        <is>
          <t>儿童U型牙刷</t>
        </is>
      </c>
      <c r="B36" s="39" t="inlineStr">
        <is>
          <t>B</t>
        </is>
      </c>
      <c r="C36" s="40" t="n">
        <v>2</v>
      </c>
      <c r="D36" s="40" t="n">
        <v>0</v>
      </c>
      <c r="E36" s="40" t="n">
        <v>0</v>
      </c>
      <c r="F36" s="40" t="n">
        <v>0</v>
      </c>
      <c r="G36" s="40" t="n">
        <v>0</v>
      </c>
      <c r="H36" s="40" t="n">
        <v>1</v>
      </c>
      <c r="I36" s="40" t="n">
        <v>0</v>
      </c>
      <c r="J36" s="41">
        <f>SUM(C36:I36)</f>
        <v>3.0</v>
      </c>
      <c r="K36" s="42" t="n"/>
    </row>
    <row r="37">
      <c r="A37" s="38" t="inlineStr">
        <is>
          <t>冰丝口罩</t>
        </is>
      </c>
      <c r="B37" s="39" t="inlineStr">
        <is>
          <t>C</t>
        </is>
      </c>
      <c r="C37" s="40" t="n">
        <v>3</v>
      </c>
      <c r="D37" s="40" t="n">
        <v>0</v>
      </c>
      <c r="E37" s="40" t="n">
        <v>0</v>
      </c>
      <c r="F37" s="40" t="n">
        <v>0</v>
      </c>
      <c r="G37" s="40" t="n">
        <v>0</v>
      </c>
      <c r="H37" s="40" t="n">
        <v>0</v>
      </c>
      <c r="I37" s="40" t="n">
        <v>0</v>
      </c>
      <c r="J37" s="41">
        <f>SUM(C37:I37)</f>
        <v>3.0</v>
      </c>
      <c r="K37" s="42" t="n"/>
    </row>
    <row r="38">
      <c r="A38" s="38" t="inlineStr">
        <is>
          <t>吹风机</t>
        </is>
      </c>
      <c r="B38" s="39" t="inlineStr">
        <is>
          <t>B</t>
        </is>
      </c>
      <c r="C38" s="40" t="n">
        <v>3</v>
      </c>
      <c r="D38" s="40" t="n">
        <v>0</v>
      </c>
      <c r="E38" s="40" t="n">
        <v>0</v>
      </c>
      <c r="F38" s="40" t="n">
        <v>0</v>
      </c>
      <c r="G38" s="40" t="n">
        <v>0</v>
      </c>
      <c r="H38" s="40" t="n">
        <v>0</v>
      </c>
      <c r="I38" s="40" t="n">
        <v>0</v>
      </c>
      <c r="J38" s="41">
        <f>SUM(C38:I38)</f>
        <v>3.0</v>
      </c>
      <c r="K38" s="42" t="n"/>
    </row>
    <row r="39">
      <c r="A39" s="38" t="inlineStr">
        <is>
          <t>多功能研磨机</t>
        </is>
      </c>
      <c r="B39" s="39" t="inlineStr">
        <is>
          <t>B</t>
        </is>
      </c>
      <c r="C39" s="40" t="n">
        <v>0</v>
      </c>
      <c r="D39" s="40" t="n">
        <v>3</v>
      </c>
      <c r="E39" s="40" t="n">
        <v>0</v>
      </c>
      <c r="F39" s="40" t="n">
        <v>0</v>
      </c>
      <c r="G39" s="40" t="n">
        <v>0</v>
      </c>
      <c r="H39" s="40" t="n">
        <v>0</v>
      </c>
      <c r="I39" s="40" t="n">
        <v>0</v>
      </c>
      <c r="J39" s="41">
        <f>SUM(C39:I39)</f>
        <v>3.0</v>
      </c>
      <c r="K39" s="42" t="n"/>
    </row>
    <row r="40">
      <c r="A40" s="38" t="inlineStr">
        <is>
          <t>小风扇</t>
        </is>
      </c>
      <c r="B40" s="39" t="inlineStr">
        <is>
          <t>B</t>
        </is>
      </c>
      <c r="C40" s="40" t="n">
        <v>0</v>
      </c>
      <c r="D40" s="40" t="n">
        <v>0</v>
      </c>
      <c r="E40" s="40" t="n">
        <v>0</v>
      </c>
      <c r="F40" s="40" t="n">
        <v>0</v>
      </c>
      <c r="G40" s="40" t="n">
        <v>0</v>
      </c>
      <c r="H40" s="40" t="n">
        <v>0</v>
      </c>
      <c r="I40" s="40" t="n">
        <v>3</v>
      </c>
      <c r="J40" s="41">
        <f>SUM(C40:I40)</f>
        <v>3.0</v>
      </c>
      <c r="K40" s="42" t="n"/>
    </row>
    <row r="41">
      <c r="A41" s="38" t="inlineStr">
        <is>
          <t>挂腰风扇</t>
        </is>
      </c>
      <c r="B41" s="39" t="inlineStr">
        <is>
          <t>A</t>
        </is>
      </c>
      <c r="C41" s="40" t="n">
        <v>0</v>
      </c>
      <c r="D41" s="40" t="n">
        <v>3</v>
      </c>
      <c r="E41" s="40" t="n">
        <v>0</v>
      </c>
      <c r="F41" s="40" t="n">
        <v>0</v>
      </c>
      <c r="G41" s="40" t="n">
        <v>0</v>
      </c>
      <c r="H41" s="40" t="n">
        <v>0</v>
      </c>
      <c r="I41" s="40" t="n">
        <v>0</v>
      </c>
      <c r="J41" s="41">
        <f>SUM(C41:I41)</f>
        <v>3.0</v>
      </c>
      <c r="K41" s="42" t="n"/>
    </row>
    <row r="42">
      <c r="A42" s="38" t="inlineStr">
        <is>
          <t>美颈仪</t>
        </is>
      </c>
      <c r="B42" s="39" t="inlineStr">
        <is>
          <t>C</t>
        </is>
      </c>
      <c r="C42" s="40" t="n">
        <v>2</v>
      </c>
      <c r="D42" s="40" t="n">
        <v>0</v>
      </c>
      <c r="E42" s="40" t="n">
        <v>0</v>
      </c>
      <c r="F42" s="40" t="n">
        <v>1</v>
      </c>
      <c r="G42" s="40" t="n">
        <v>0</v>
      </c>
      <c r="H42" s="40" t="n">
        <v>0</v>
      </c>
      <c r="I42" s="40" t="n">
        <v>0</v>
      </c>
      <c r="J42" s="41">
        <f>SUM(C42:I42)</f>
        <v>3.0</v>
      </c>
      <c r="K42" s="42" t="n"/>
    </row>
    <row r="43">
      <c r="A43" s="38" t="inlineStr">
        <is>
          <t>除螨仪</t>
        </is>
      </c>
      <c r="B43" s="39" t="inlineStr">
        <is>
          <t>B</t>
        </is>
      </c>
      <c r="C43" s="40" t="n">
        <v>1</v>
      </c>
      <c r="D43" s="40" t="n">
        <v>0</v>
      </c>
      <c r="E43" s="40" t="n">
        <v>0</v>
      </c>
      <c r="F43" s="40" t="n">
        <v>0</v>
      </c>
      <c r="G43" s="40" t="n">
        <v>0</v>
      </c>
      <c r="H43" s="40" t="n">
        <v>0</v>
      </c>
      <c r="I43" s="40" t="n">
        <v>2</v>
      </c>
      <c r="J43" s="41">
        <f>SUM(C43:I43)</f>
        <v>3.0</v>
      </c>
      <c r="K43" s="42" t="n"/>
    </row>
    <row r="44">
      <c r="A44" s="38" t="inlineStr">
        <is>
          <t>食材净化机</t>
        </is>
      </c>
      <c r="B44" s="39" t="inlineStr">
        <is>
          <t>C</t>
        </is>
      </c>
      <c r="C44" s="40" t="n">
        <v>3</v>
      </c>
      <c r="D44" s="40" t="n">
        <v>0</v>
      </c>
      <c r="E44" s="40" t="n">
        <v>0</v>
      </c>
      <c r="F44" s="40" t="n">
        <v>0</v>
      </c>
      <c r="G44" s="40" t="n">
        <v>0</v>
      </c>
      <c r="H44" s="40" t="n">
        <v>0</v>
      </c>
      <c r="I44" s="40" t="n">
        <v>0</v>
      </c>
      <c r="J44" s="41">
        <f>SUM(C44:I44)</f>
        <v>3.0</v>
      </c>
      <c r="K44" s="42" t="n"/>
    </row>
    <row r="45">
      <c r="A45" s="38" t="inlineStr">
        <is>
          <t>马桶卫士</t>
        </is>
      </c>
      <c r="B45" s="39" t="inlineStr">
        <is>
          <t>A</t>
        </is>
      </c>
      <c r="C45" s="40" t="n">
        <v>3</v>
      </c>
      <c r="D45" s="40" t="n">
        <v>0</v>
      </c>
      <c r="E45" s="40" t="n">
        <v>0</v>
      </c>
      <c r="F45" s="40" t="n">
        <v>0</v>
      </c>
      <c r="G45" s="40" t="n">
        <v>0</v>
      </c>
      <c r="H45" s="40" t="n">
        <v>0</v>
      </c>
      <c r="I45" s="40" t="n">
        <v>0</v>
      </c>
      <c r="J45" s="41">
        <f>SUM(C45:I45)</f>
        <v>3.0</v>
      </c>
      <c r="K45" s="42" t="n"/>
    </row>
    <row r="46">
      <c r="A46" s="38" t="inlineStr">
        <is>
          <t>便携干衣机</t>
        </is>
      </c>
      <c r="B46" s="39" t="inlineStr">
        <is>
          <t>C</t>
        </is>
      </c>
      <c r="C46" s="40" t="n">
        <v>0</v>
      </c>
      <c r="D46" s="40" t="n">
        <v>2</v>
      </c>
      <c r="E46" s="40" t="n">
        <v>0</v>
      </c>
      <c r="F46" s="40" t="n">
        <v>0</v>
      </c>
      <c r="G46" s="40" t="n">
        <v>0</v>
      </c>
      <c r="H46" s="40" t="n">
        <v>0</v>
      </c>
      <c r="I46" s="40" t="n">
        <v>0</v>
      </c>
      <c r="J46" s="41">
        <f>SUM(C46:I46)</f>
        <v>2.0</v>
      </c>
      <c r="K46" s="42" t="n"/>
    </row>
    <row r="47">
      <c r="A47" s="38" t="inlineStr">
        <is>
          <t>冰点脱毛仪</t>
        </is>
      </c>
      <c r="B47" s="39" t="inlineStr">
        <is>
          <t>B</t>
        </is>
      </c>
      <c r="C47" s="40" t="n">
        <v>2</v>
      </c>
      <c r="D47" s="40" t="n">
        <v>0</v>
      </c>
      <c r="E47" s="40" t="n">
        <v>0</v>
      </c>
      <c r="F47" s="40" t="n">
        <v>0</v>
      </c>
      <c r="G47" s="40" t="n">
        <v>0</v>
      </c>
      <c r="H47" s="40" t="n">
        <v>0</v>
      </c>
      <c r="I47" s="40" t="n">
        <v>0</v>
      </c>
      <c r="J47" s="41">
        <f>SUM(C47:I47)</f>
        <v>2.0</v>
      </c>
      <c r="K47" s="42" t="n"/>
    </row>
    <row r="48">
      <c r="A48" s="38" t="inlineStr">
        <is>
          <t>化妆刷清洗器</t>
        </is>
      </c>
      <c r="B48" s="39" t="inlineStr">
        <is>
          <t>B</t>
        </is>
      </c>
      <c r="C48" s="40" t="n">
        <v>2</v>
      </c>
      <c r="D48" s="40" t="n">
        <v>0</v>
      </c>
      <c r="E48" s="40" t="n">
        <v>0</v>
      </c>
      <c r="F48" s="40" t="n">
        <v>0</v>
      </c>
      <c r="G48" s="40" t="n">
        <v>0</v>
      </c>
      <c r="H48" s="40" t="n">
        <v>0</v>
      </c>
      <c r="I48" s="40" t="n">
        <v>0</v>
      </c>
      <c r="J48" s="41">
        <f>SUM(C48:I48)</f>
        <v>2.0</v>
      </c>
      <c r="K48" s="42" t="n"/>
    </row>
    <row r="49">
      <c r="A49" s="38" t="inlineStr">
        <is>
          <t>口腔护理慕斯</t>
        </is>
      </c>
      <c r="B49" s="39" t="inlineStr">
        <is>
          <t>C</t>
        </is>
      </c>
      <c r="C49" s="40" t="n">
        <v>1</v>
      </c>
      <c r="D49" s="40" t="n">
        <v>0</v>
      </c>
      <c r="E49" s="40" t="n">
        <v>0</v>
      </c>
      <c r="F49" s="40" t="n">
        <v>0</v>
      </c>
      <c r="G49" s="40" t="n">
        <v>0</v>
      </c>
      <c r="H49" s="40" t="n">
        <v>1</v>
      </c>
      <c r="I49" s="40" t="n">
        <v>0</v>
      </c>
      <c r="J49" s="41">
        <f>SUM(C49:I49)</f>
        <v>2.0</v>
      </c>
      <c r="K49" s="42" t="n"/>
    </row>
    <row r="50">
      <c r="A50" s="38" t="inlineStr">
        <is>
          <t>小气泡美容仪</t>
        </is>
      </c>
      <c r="B50" s="39" t="inlineStr">
        <is>
          <t>A</t>
        </is>
      </c>
      <c r="C50" s="40" t="n">
        <v>2</v>
      </c>
      <c r="D50" s="40" t="n">
        <v>0</v>
      </c>
      <c r="E50" s="40" t="n">
        <v>0</v>
      </c>
      <c r="F50" s="40" t="n">
        <v>0</v>
      </c>
      <c r="G50" s="40" t="n">
        <v>0</v>
      </c>
      <c r="H50" s="40" t="n">
        <v>0</v>
      </c>
      <c r="I50" s="40" t="n">
        <v>0</v>
      </c>
      <c r="J50" s="41">
        <f>SUM(C50:I50)</f>
        <v>2.0</v>
      </c>
      <c r="K50" s="42" t="n"/>
    </row>
    <row r="51">
      <c r="A51" s="38" t="inlineStr">
        <is>
          <t>强脉冲光治疗仪</t>
        </is>
      </c>
      <c r="B51" s="39" t="inlineStr">
        <is>
          <t>C</t>
        </is>
      </c>
      <c r="C51" s="40" t="n">
        <v>2</v>
      </c>
      <c r="D51" s="40" t="n">
        <v>0</v>
      </c>
      <c r="E51" s="40" t="n">
        <v>0</v>
      </c>
      <c r="F51" s="40" t="n">
        <v>0</v>
      </c>
      <c r="G51" s="40" t="n">
        <v>0</v>
      </c>
      <c r="H51" s="40" t="n">
        <v>0</v>
      </c>
      <c r="I51" s="40" t="n">
        <v>0</v>
      </c>
      <c r="J51" s="41">
        <f>SUM(C51:I51)</f>
        <v>2.0</v>
      </c>
      <c r="K51" s="42" t="n"/>
    </row>
    <row r="52">
      <c r="A52" s="38" t="inlineStr">
        <is>
          <t>循环扇</t>
        </is>
      </c>
      <c r="B52" s="39" t="inlineStr">
        <is>
          <t>A</t>
        </is>
      </c>
      <c r="C52" s="40" t="n">
        <v>0</v>
      </c>
      <c r="D52" s="40" t="n">
        <v>0</v>
      </c>
      <c r="E52" s="40" t="n">
        <v>0</v>
      </c>
      <c r="F52" s="40" t="n">
        <v>0</v>
      </c>
      <c r="G52" s="40" t="n">
        <v>2</v>
      </c>
      <c r="H52" s="40" t="n">
        <v>0</v>
      </c>
      <c r="I52" s="40" t="n">
        <v>0</v>
      </c>
      <c r="J52" s="41">
        <f>SUM(C52:I52)</f>
        <v>2.0</v>
      </c>
      <c r="K52" s="42" t="n"/>
    </row>
    <row r="53">
      <c r="A53" s="38" t="inlineStr">
        <is>
          <t>按摩枕</t>
        </is>
      </c>
      <c r="B53" s="39" t="inlineStr">
        <is>
          <t>B</t>
        </is>
      </c>
      <c r="C53" s="40" t="n">
        <v>0</v>
      </c>
      <c r="D53" s="40" t="n">
        <v>0</v>
      </c>
      <c r="E53" s="40" t="n">
        <v>0</v>
      </c>
      <c r="F53" s="40" t="n">
        <v>0</v>
      </c>
      <c r="G53" s="40" t="n">
        <v>0</v>
      </c>
      <c r="H53" s="40" t="n">
        <v>1</v>
      </c>
      <c r="I53" s="40" t="n">
        <v>1</v>
      </c>
      <c r="J53" s="41">
        <f>SUM(C53:I53)</f>
        <v>2.0</v>
      </c>
      <c r="K53" s="42" t="n"/>
    </row>
    <row r="54">
      <c r="A54" s="38" t="inlineStr">
        <is>
          <t>智能可视洁牙器</t>
        </is>
      </c>
      <c r="B54" s="39" t="inlineStr">
        <is>
          <t>C</t>
        </is>
      </c>
      <c r="C54" s="40" t="n">
        <v>2</v>
      </c>
      <c r="D54" s="40" t="n">
        <v>0</v>
      </c>
      <c r="E54" s="40" t="n">
        <v>0</v>
      </c>
      <c r="F54" s="40" t="n">
        <v>0</v>
      </c>
      <c r="G54" s="40" t="n">
        <v>0</v>
      </c>
      <c r="H54" s="40" t="n">
        <v>0</v>
      </c>
      <c r="I54" s="40" t="n">
        <v>0</v>
      </c>
      <c r="J54" s="41">
        <f>SUM(C54:I54)</f>
        <v>2.0</v>
      </c>
      <c r="K54" s="42" t="n"/>
    </row>
    <row r="55">
      <c r="A55" s="38" t="inlineStr">
        <is>
          <t>智能走罐按摩器</t>
        </is>
      </c>
      <c r="B55" s="39" t="inlineStr">
        <is>
          <t>B</t>
        </is>
      </c>
      <c r="C55" s="40" t="n">
        <v>2</v>
      </c>
      <c r="D55" s="40" t="n">
        <v>0</v>
      </c>
      <c r="E55" s="40" t="n">
        <v>0</v>
      </c>
      <c r="F55" s="40" t="n">
        <v>0</v>
      </c>
      <c r="G55" s="40" t="n">
        <v>0</v>
      </c>
      <c r="H55" s="40" t="n">
        <v>0</v>
      </c>
      <c r="I55" s="40" t="n">
        <v>0</v>
      </c>
      <c r="J55" s="41">
        <f>SUM(C55:I55)</f>
        <v>2.0</v>
      </c>
      <c r="K55" s="42" t="n"/>
    </row>
    <row r="56">
      <c r="A56" s="38" t="inlineStr">
        <is>
          <t>洁面仪</t>
        </is>
      </c>
      <c r="B56" s="39" t="inlineStr">
        <is>
          <t>B</t>
        </is>
      </c>
      <c r="C56" s="40" t="n">
        <v>2</v>
      </c>
      <c r="D56" s="40" t="n">
        <v>0</v>
      </c>
      <c r="E56" s="40" t="n">
        <v>0</v>
      </c>
      <c r="F56" s="40" t="n">
        <v>0</v>
      </c>
      <c r="G56" s="40" t="n">
        <v>0</v>
      </c>
      <c r="H56" s="40" t="n">
        <v>0</v>
      </c>
      <c r="I56" s="40" t="n">
        <v>0</v>
      </c>
      <c r="J56" s="41">
        <f>SUM(C56:I56)</f>
        <v>2.0</v>
      </c>
      <c r="K56" s="42" t="n"/>
    </row>
    <row r="57">
      <c r="A57" s="38" t="inlineStr">
        <is>
          <t>烘鞋器</t>
        </is>
      </c>
      <c r="B57" s="39" t="inlineStr">
        <is>
          <t>B</t>
        </is>
      </c>
      <c r="C57" s="40" t="n">
        <v>0</v>
      </c>
      <c r="D57" s="40" t="n">
        <v>0</v>
      </c>
      <c r="E57" s="40" t="n">
        <v>0</v>
      </c>
      <c r="F57" s="40" t="n">
        <v>1</v>
      </c>
      <c r="G57" s="40" t="n">
        <v>0</v>
      </c>
      <c r="H57" s="40" t="n">
        <v>0</v>
      </c>
      <c r="I57" s="40" t="n">
        <v>1</v>
      </c>
      <c r="J57" s="41">
        <f>SUM(C57:I57)</f>
        <v>2.0</v>
      </c>
      <c r="K57" s="42" t="n"/>
    </row>
    <row r="58">
      <c r="A58" s="38" t="inlineStr">
        <is>
          <t>甩脂机</t>
        </is>
      </c>
      <c r="B58" s="39" t="inlineStr">
        <is>
          <t>C</t>
        </is>
      </c>
      <c r="C58" s="40" t="n">
        <v>1</v>
      </c>
      <c r="D58" s="40" t="n">
        <v>0</v>
      </c>
      <c r="E58" s="40" t="n">
        <v>0</v>
      </c>
      <c r="F58" s="40" t="n">
        <v>0</v>
      </c>
      <c r="G58" s="40" t="n">
        <v>0</v>
      </c>
      <c r="H58" s="40" t="n">
        <v>0</v>
      </c>
      <c r="I58" s="40" t="n">
        <v>1</v>
      </c>
      <c r="J58" s="41">
        <f>SUM(C58:I58)</f>
        <v>2.0</v>
      </c>
      <c r="K58" s="42" t="n"/>
    </row>
    <row r="59">
      <c r="A59" s="38" t="inlineStr">
        <is>
          <t>电动修眉刀</t>
        </is>
      </c>
      <c r="B59" s="39" t="inlineStr">
        <is>
          <t>A</t>
        </is>
      </c>
      <c r="C59" s="40" t="n">
        <v>2</v>
      </c>
      <c r="D59" s="40" t="n">
        <v>0</v>
      </c>
      <c r="E59" s="40" t="n">
        <v>0</v>
      </c>
      <c r="F59" s="40" t="n">
        <v>0</v>
      </c>
      <c r="G59" s="40" t="n">
        <v>0</v>
      </c>
      <c r="H59" s="40" t="n">
        <v>0</v>
      </c>
      <c r="I59" s="40" t="n">
        <v>0</v>
      </c>
      <c r="J59" s="41">
        <f>SUM(C59:I59)</f>
        <v>2.0</v>
      </c>
      <c r="K59" s="42" t="n"/>
    </row>
    <row r="60">
      <c r="A60" s="38" t="inlineStr">
        <is>
          <t>电动磨甲器</t>
        </is>
      </c>
      <c r="B60" s="39" t="inlineStr">
        <is>
          <t>B</t>
        </is>
      </c>
      <c r="C60" s="40" t="n">
        <v>0</v>
      </c>
      <c r="D60" s="40" t="n">
        <v>0</v>
      </c>
      <c r="E60" s="40" t="n">
        <v>0</v>
      </c>
      <c r="F60" s="40" t="n">
        <v>0</v>
      </c>
      <c r="G60" s="40" t="n">
        <v>2</v>
      </c>
      <c r="H60" s="40" t="n">
        <v>0</v>
      </c>
      <c r="I60" s="40" t="n">
        <v>0</v>
      </c>
      <c r="J60" s="41">
        <f>SUM(C60:I60)</f>
        <v>2.0</v>
      </c>
      <c r="K60" s="42" t="n"/>
    </row>
    <row r="61">
      <c r="A61" s="38" t="inlineStr">
        <is>
          <t>破壁料理机</t>
        </is>
      </c>
      <c r="B61" s="39" t="inlineStr">
        <is>
          <t>B</t>
        </is>
      </c>
      <c r="C61" s="40" t="n">
        <v>0</v>
      </c>
      <c r="D61" s="40" t="n">
        <v>2</v>
      </c>
      <c r="E61" s="40" t="n">
        <v>0</v>
      </c>
      <c r="F61" s="40" t="n">
        <v>0</v>
      </c>
      <c r="G61" s="40" t="n">
        <v>0</v>
      </c>
      <c r="H61" s="40" t="n">
        <v>0</v>
      </c>
      <c r="I61" s="40" t="n">
        <v>0</v>
      </c>
      <c r="J61" s="41">
        <f>SUM(C61:I61)</f>
        <v>2.0</v>
      </c>
      <c r="K61" s="42" t="n"/>
    </row>
    <row r="62">
      <c r="A62" s="38" t="inlineStr">
        <is>
          <t>迷你洗衣机</t>
        </is>
      </c>
      <c r="B62" s="39" t="inlineStr">
        <is>
          <t>B</t>
        </is>
      </c>
      <c r="C62" s="40" t="n">
        <v>2</v>
      </c>
      <c r="D62" s="40" t="n">
        <v>0</v>
      </c>
      <c r="E62" s="40" t="n">
        <v>0</v>
      </c>
      <c r="F62" s="40" t="n">
        <v>0</v>
      </c>
      <c r="G62" s="40" t="n">
        <v>0</v>
      </c>
      <c r="H62" s="40" t="n">
        <v>0</v>
      </c>
      <c r="I62" s="40" t="n">
        <v>0</v>
      </c>
      <c r="J62" s="41">
        <f>SUM(C62:I62)</f>
        <v>2.0</v>
      </c>
      <c r="K62" s="42" t="n"/>
    </row>
    <row r="63">
      <c r="A63" s="38" t="inlineStr">
        <is>
          <t>采耳耳勺可视</t>
        </is>
      </c>
      <c r="B63" s="39" t="inlineStr">
        <is>
          <t>B</t>
        </is>
      </c>
      <c r="C63" s="40" t="n">
        <v>2</v>
      </c>
      <c r="D63" s="40" t="n">
        <v>0</v>
      </c>
      <c r="E63" s="40" t="n">
        <v>0</v>
      </c>
      <c r="F63" s="40" t="n">
        <v>0</v>
      </c>
      <c r="G63" s="40" t="n">
        <v>0</v>
      </c>
      <c r="H63" s="40" t="n">
        <v>0</v>
      </c>
      <c r="I63" s="40" t="n">
        <v>0</v>
      </c>
      <c r="J63" s="41">
        <f>SUM(C63:I63)</f>
        <v>2.0</v>
      </c>
      <c r="K63" s="42" t="n"/>
    </row>
    <row r="64">
      <c r="A64" s="38" t="inlineStr">
        <is>
          <t>驱蚊手环</t>
        </is>
      </c>
      <c r="B64" s="39" t="inlineStr">
        <is>
          <t>B</t>
        </is>
      </c>
      <c r="C64" s="40" t="n">
        <v>0</v>
      </c>
      <c r="D64" s="40" t="n">
        <v>0</v>
      </c>
      <c r="E64" s="40" t="n">
        <v>0</v>
      </c>
      <c r="F64" s="40" t="n">
        <v>0</v>
      </c>
      <c r="G64" s="40" t="n">
        <v>0</v>
      </c>
      <c r="H64" s="40" t="n">
        <v>0</v>
      </c>
      <c r="I64" s="40" t="n">
        <v>2</v>
      </c>
      <c r="J64" s="41">
        <f>SUM(C64:I64)</f>
        <v>2.0</v>
      </c>
      <c r="K64" s="42" t="n"/>
    </row>
    <row r="65">
      <c r="A65" s="38" t="inlineStr">
        <is>
          <t>高速吹风机</t>
        </is>
      </c>
      <c r="B65" s="39" t="inlineStr">
        <is>
          <t>A</t>
        </is>
      </c>
      <c r="C65" s="40" t="n">
        <v>0</v>
      </c>
      <c r="D65" s="40" t="n">
        <v>0</v>
      </c>
      <c r="E65" s="40" t="n">
        <v>0</v>
      </c>
      <c r="F65" s="40" t="n">
        <v>2</v>
      </c>
      <c r="G65" s="40" t="n">
        <v>0</v>
      </c>
      <c r="H65" s="40" t="n">
        <v>0</v>
      </c>
      <c r="I65" s="40" t="n">
        <v>0</v>
      </c>
      <c r="J65" s="41">
        <f>SUM(C65:I65)</f>
        <v>2.0</v>
      </c>
      <c r="K65" s="42" t="n"/>
    </row>
    <row r="66">
      <c r="A66" s="38" t="inlineStr">
        <is>
          <t>你比我猜训练机</t>
        </is>
      </c>
      <c r="B66" s="39" t="inlineStr">
        <is>
          <t>B</t>
        </is>
      </c>
      <c r="C66" s="40" t="n">
        <v>1</v>
      </c>
      <c r="D66" s="40" t="n">
        <v>0</v>
      </c>
      <c r="E66" s="40" t="n">
        <v>0</v>
      </c>
      <c r="F66" s="40" t="n">
        <v>0</v>
      </c>
      <c r="G66" s="40" t="n">
        <v>0</v>
      </c>
      <c r="H66" s="40" t="n">
        <v>0</v>
      </c>
      <c r="I66" s="40" t="n">
        <v>0</v>
      </c>
      <c r="J66" s="41">
        <f>SUM(C66:I66)</f>
        <v>1.0</v>
      </c>
      <c r="K66" s="42" t="n"/>
    </row>
    <row r="67">
      <c r="A67" s="38" t="inlineStr">
        <is>
          <t>净水器</t>
        </is>
      </c>
      <c r="B67" s="39" t="inlineStr">
        <is>
          <t>C</t>
        </is>
      </c>
      <c r="C67" s="40" t="n">
        <v>0</v>
      </c>
      <c r="D67" s="40" t="n">
        <v>0</v>
      </c>
      <c r="E67" s="40" t="n">
        <v>0</v>
      </c>
      <c r="F67" s="40" t="n">
        <v>0</v>
      </c>
      <c r="G67" s="40" t="n">
        <v>0</v>
      </c>
      <c r="H67" s="40" t="n">
        <v>0</v>
      </c>
      <c r="I67" s="40" t="n">
        <v>1</v>
      </c>
      <c r="J67" s="41">
        <f>SUM(C67:I67)</f>
        <v>1.0</v>
      </c>
      <c r="K67" s="42" t="n"/>
    </row>
    <row r="68">
      <c r="A68" s="38" t="inlineStr">
        <is>
          <t>呼吸哑铃</t>
        </is>
      </c>
      <c r="B68" s="39" t="inlineStr">
        <is>
          <t>B</t>
        </is>
      </c>
      <c r="C68" s="40" t="n">
        <v>0</v>
      </c>
      <c r="D68" s="40" t="n">
        <v>0</v>
      </c>
      <c r="E68" s="40" t="n">
        <v>0</v>
      </c>
      <c r="F68" s="40" t="n">
        <v>0</v>
      </c>
      <c r="G68" s="40" t="n">
        <v>0</v>
      </c>
      <c r="H68" s="40" t="n">
        <v>0</v>
      </c>
      <c r="I68" s="40" t="n">
        <v>1</v>
      </c>
      <c r="J68" s="41">
        <f>SUM(C68:I68)</f>
        <v>1.0</v>
      </c>
      <c r="K68" s="42" t="n"/>
    </row>
    <row r="69">
      <c r="A69" s="38" t="inlineStr">
        <is>
          <t>咖啡豆研磨机</t>
        </is>
      </c>
      <c r="B69" s="39" t="inlineStr">
        <is>
          <t>B</t>
        </is>
      </c>
      <c r="C69" s="40" t="n">
        <v>0</v>
      </c>
      <c r="D69" s="40" t="n">
        <v>1</v>
      </c>
      <c r="E69" s="40" t="n">
        <v>0</v>
      </c>
      <c r="F69" s="40" t="n">
        <v>0</v>
      </c>
      <c r="G69" s="40" t="n">
        <v>0</v>
      </c>
      <c r="H69" s="40" t="n">
        <v>0</v>
      </c>
      <c r="I69" s="40" t="n">
        <v>0</v>
      </c>
      <c r="J69" s="41">
        <f>SUM(C69:I69)</f>
        <v>1.0</v>
      </c>
      <c r="K69" s="42" t="n"/>
    </row>
    <row r="70">
      <c r="A70" s="38" t="inlineStr">
        <is>
          <t>多功能沐浴刷</t>
        </is>
      </c>
      <c r="B70" s="39" t="inlineStr">
        <is>
          <t>B</t>
        </is>
      </c>
      <c r="C70" s="40" t="n">
        <v>1</v>
      </c>
      <c r="D70" s="40" t="n">
        <v>0</v>
      </c>
      <c r="E70" s="40" t="n">
        <v>0</v>
      </c>
      <c r="F70" s="40" t="n">
        <v>0</v>
      </c>
      <c r="G70" s="40" t="n">
        <v>0</v>
      </c>
      <c r="H70" s="40" t="n">
        <v>0</v>
      </c>
      <c r="I70" s="40" t="n">
        <v>0</v>
      </c>
      <c r="J70" s="41">
        <f>SUM(C70:I70)</f>
        <v>1.0</v>
      </c>
      <c r="K70" s="42" t="n"/>
    </row>
    <row r="71">
      <c r="A71" s="38" t="inlineStr">
        <is>
          <t>头部按摩器</t>
        </is>
      </c>
      <c r="B71" s="39" t="inlineStr">
        <is>
          <t>B</t>
        </is>
      </c>
      <c r="C71" s="40" t="n">
        <v>0</v>
      </c>
      <c r="D71" s="40" t="n">
        <v>0</v>
      </c>
      <c r="E71" s="40" t="n">
        <v>0</v>
      </c>
      <c r="F71" s="40" t="n">
        <v>1</v>
      </c>
      <c r="G71" s="40" t="n">
        <v>0</v>
      </c>
      <c r="H71" s="40" t="n">
        <v>0</v>
      </c>
      <c r="I71" s="40" t="n">
        <v>0</v>
      </c>
      <c r="J71" s="41">
        <f>SUM(C71:I71)</f>
        <v>1.0</v>
      </c>
      <c r="K71" s="42" t="n"/>
    </row>
    <row r="72">
      <c r="A72" s="38" t="inlineStr">
        <is>
          <t>宠物修剪器</t>
        </is>
      </c>
      <c r="B72" s="39" t="inlineStr">
        <is>
          <t>A</t>
        </is>
      </c>
      <c r="C72" s="40" t="n">
        <v>1</v>
      </c>
      <c r="D72" s="40" t="n">
        <v>0</v>
      </c>
      <c r="E72" s="40" t="n">
        <v>0</v>
      </c>
      <c r="F72" s="40" t="n">
        <v>0</v>
      </c>
      <c r="G72" s="40" t="n">
        <v>0</v>
      </c>
      <c r="H72" s="40" t="n">
        <v>0</v>
      </c>
      <c r="I72" s="40" t="n">
        <v>0</v>
      </c>
      <c r="J72" s="41">
        <f>SUM(C72:I72)</f>
        <v>1.0</v>
      </c>
      <c r="K72" s="42" t="n"/>
    </row>
    <row r="73">
      <c r="A73" s="38" t="inlineStr">
        <is>
          <t>家禽拔毛器</t>
        </is>
      </c>
      <c r="B73" s="39" t="inlineStr">
        <is>
          <t>C</t>
        </is>
      </c>
      <c r="C73" s="40" t="n">
        <v>1</v>
      </c>
      <c r="D73" s="40" t="n">
        <v>0</v>
      </c>
      <c r="E73" s="40" t="n">
        <v>0</v>
      </c>
      <c r="F73" s="40" t="n">
        <v>0</v>
      </c>
      <c r="G73" s="40" t="n">
        <v>0</v>
      </c>
      <c r="H73" s="40" t="n">
        <v>0</v>
      </c>
      <c r="I73" s="40" t="n">
        <v>0</v>
      </c>
      <c r="J73" s="41">
        <f>SUM(C73:I73)</f>
        <v>1.0</v>
      </c>
      <c r="K73" s="42" t="n"/>
    </row>
    <row r="74">
      <c r="A74" s="38" t="inlineStr">
        <is>
          <t>手动刮胡刀</t>
        </is>
      </c>
      <c r="B74" s="39" t="inlineStr">
        <is>
          <t>A</t>
        </is>
      </c>
      <c r="C74" s="40" t="n">
        <v>1</v>
      </c>
      <c r="D74" s="40" t="n">
        <v>0</v>
      </c>
      <c r="E74" s="40" t="n">
        <v>0</v>
      </c>
      <c r="F74" s="40" t="n">
        <v>0</v>
      </c>
      <c r="G74" s="40" t="n">
        <v>0</v>
      </c>
      <c r="H74" s="40" t="n">
        <v>0</v>
      </c>
      <c r="I74" s="40" t="n">
        <v>0</v>
      </c>
      <c r="J74" s="41">
        <f>SUM(C74:I74)</f>
        <v>1.0</v>
      </c>
      <c r="K74" s="42" t="n"/>
    </row>
    <row r="75">
      <c r="A75" s="38" t="inlineStr">
        <is>
          <t>手足皲裂膏</t>
        </is>
      </c>
      <c r="B75" s="39" t="inlineStr">
        <is>
          <t>B</t>
        </is>
      </c>
      <c r="C75" s="40" t="n">
        <v>0</v>
      </c>
      <c r="D75" s="40" t="n">
        <v>0</v>
      </c>
      <c r="E75" s="40" t="n">
        <v>0</v>
      </c>
      <c r="F75" s="40" t="n">
        <v>0</v>
      </c>
      <c r="G75" s="40" t="n">
        <v>0</v>
      </c>
      <c r="H75" s="40" t="n">
        <v>0</v>
      </c>
      <c r="I75" s="40" t="n">
        <v>1</v>
      </c>
      <c r="J75" s="41">
        <f>SUM(C75:I75)</f>
        <v>1.0</v>
      </c>
      <c r="K75" s="42" t="n"/>
    </row>
    <row r="76">
      <c r="A76" s="38" t="inlineStr">
        <is>
          <t>明目护眼液</t>
        </is>
      </c>
      <c r="B76" s="39" t="inlineStr">
        <is>
          <t>C</t>
        </is>
      </c>
      <c r="C76" s="40" t="n">
        <v>0</v>
      </c>
      <c r="D76" s="40" t="n">
        <v>0</v>
      </c>
      <c r="E76" s="40" t="n">
        <v>0</v>
      </c>
      <c r="F76" s="40" t="n">
        <v>0</v>
      </c>
      <c r="G76" s="40" t="n">
        <v>0</v>
      </c>
      <c r="H76" s="40" t="n">
        <v>0</v>
      </c>
      <c r="I76" s="40" t="n">
        <v>1</v>
      </c>
      <c r="J76" s="41">
        <f>SUM(C76:I76)</f>
        <v>1.0</v>
      </c>
      <c r="K76" s="42" t="n"/>
    </row>
    <row r="77">
      <c r="A77" s="38" t="inlineStr">
        <is>
          <t>智能护膝仪</t>
        </is>
      </c>
      <c r="B77" s="39" t="inlineStr">
        <is>
          <t>C</t>
        </is>
      </c>
      <c r="C77" s="40" t="n">
        <v>0</v>
      </c>
      <c r="D77" s="40" t="n">
        <v>0</v>
      </c>
      <c r="E77" s="40" t="n">
        <v>0</v>
      </c>
      <c r="F77" s="40" t="n">
        <v>0</v>
      </c>
      <c r="G77" s="40" t="n">
        <v>0</v>
      </c>
      <c r="H77" s="40" t="n">
        <v>0</v>
      </c>
      <c r="I77" s="40" t="n">
        <v>1</v>
      </c>
      <c r="J77" s="41">
        <f>SUM(C77:I77)</f>
        <v>1.0</v>
      </c>
      <c r="K77" s="42" t="n"/>
    </row>
    <row r="78">
      <c r="A78" s="38" t="inlineStr">
        <is>
          <t>暖菜板</t>
        </is>
      </c>
      <c r="B78" s="39" t="inlineStr">
        <is>
          <t>B</t>
        </is>
      </c>
      <c r="C78" s="40" t="n">
        <v>0</v>
      </c>
      <c r="D78" s="40" t="n">
        <v>0</v>
      </c>
      <c r="E78" s="40" t="n">
        <v>0</v>
      </c>
      <c r="F78" s="40" t="n">
        <v>0</v>
      </c>
      <c r="G78" s="40" t="n">
        <v>0</v>
      </c>
      <c r="H78" s="40" t="n">
        <v>0</v>
      </c>
      <c r="I78" s="40" t="n">
        <v>1</v>
      </c>
      <c r="J78" s="41">
        <f>SUM(C78:I78)</f>
        <v>1.0</v>
      </c>
      <c r="K78" s="42" t="n"/>
    </row>
    <row r="79">
      <c r="A79" s="38" t="inlineStr">
        <is>
          <t>每日悬灸</t>
        </is>
      </c>
      <c r="B79" s="39" t="inlineStr">
        <is>
          <t>B</t>
        </is>
      </c>
      <c r="C79" s="40" t="n">
        <v>0</v>
      </c>
      <c r="D79" s="40" t="n">
        <v>0</v>
      </c>
      <c r="E79" s="40" t="n">
        <v>0</v>
      </c>
      <c r="F79" s="40" t="n">
        <v>0</v>
      </c>
      <c r="G79" s="40" t="n">
        <v>0</v>
      </c>
      <c r="H79" s="40" t="n">
        <v>0</v>
      </c>
      <c r="I79" s="40" t="n">
        <v>1</v>
      </c>
      <c r="J79" s="41">
        <f>SUM(C79:I79)</f>
        <v>1.0</v>
      </c>
      <c r="K79" s="42" t="n"/>
    </row>
    <row r="80">
      <c r="A80" s="38" t="inlineStr">
        <is>
          <t>洗眼液</t>
        </is>
      </c>
      <c r="B80" s="39" t="inlineStr">
        <is>
          <t>B</t>
        </is>
      </c>
      <c r="C80" s="40" t="n">
        <v>0</v>
      </c>
      <c r="D80" s="40" t="n">
        <v>0</v>
      </c>
      <c r="E80" s="40" t="n">
        <v>0</v>
      </c>
      <c r="F80" s="40" t="n">
        <v>0</v>
      </c>
      <c r="G80" s="40" t="n">
        <v>0</v>
      </c>
      <c r="H80" s="40" t="n">
        <v>0</v>
      </c>
      <c r="I80" s="40" t="n">
        <v>1</v>
      </c>
      <c r="J80" s="41">
        <f>SUM(C80:I80)</f>
        <v>1.0</v>
      </c>
      <c r="K80" s="42" t="n"/>
    </row>
    <row r="81">
      <c r="A81" s="38" t="inlineStr">
        <is>
          <t>洗衣杯</t>
        </is>
      </c>
      <c r="B81" s="39" t="inlineStr">
        <is>
          <t>B</t>
        </is>
      </c>
      <c r="C81" s="40" t="n">
        <v>1</v>
      </c>
      <c r="D81" s="40" t="n">
        <v>0</v>
      </c>
      <c r="E81" s="40" t="n">
        <v>0</v>
      </c>
      <c r="F81" s="40" t="n">
        <v>0</v>
      </c>
      <c r="G81" s="40" t="n">
        <v>0</v>
      </c>
      <c r="H81" s="40" t="n">
        <v>0</v>
      </c>
      <c r="I81" s="40" t="n">
        <v>0</v>
      </c>
      <c r="J81" s="41">
        <f>SUM(C81:I81)</f>
        <v>1.0</v>
      </c>
      <c r="K81" s="42" t="n"/>
    </row>
    <row r="82">
      <c r="A82" s="38" t="inlineStr">
        <is>
          <t>漱口水</t>
        </is>
      </c>
      <c r="B82" s="39" t="inlineStr">
        <is>
          <t>C</t>
        </is>
      </c>
      <c r="C82" s="40" t="n">
        <v>0</v>
      </c>
      <c r="D82" s="40" t="n">
        <v>0</v>
      </c>
      <c r="E82" s="40" t="n">
        <v>0</v>
      </c>
      <c r="F82" s="40" t="n">
        <v>0</v>
      </c>
      <c r="G82" s="40" t="n">
        <v>0</v>
      </c>
      <c r="H82" s="40" t="n">
        <v>0</v>
      </c>
      <c r="I82" s="40" t="n">
        <v>1</v>
      </c>
      <c r="J82" s="41">
        <f>SUM(C82:I82)</f>
        <v>1.0</v>
      </c>
      <c r="K82" s="42" t="n"/>
    </row>
    <row r="83">
      <c r="A83" s="38" t="inlineStr">
        <is>
          <t>电动清洁刷</t>
        </is>
      </c>
      <c r="B83" s="39" t="inlineStr">
        <is>
          <t>C</t>
        </is>
      </c>
      <c r="C83" s="40" t="n">
        <v>1</v>
      </c>
      <c r="D83" s="40" t="n">
        <v>0</v>
      </c>
      <c r="E83" s="40" t="n">
        <v>0</v>
      </c>
      <c r="F83" s="40" t="n">
        <v>0</v>
      </c>
      <c r="G83" s="40" t="n">
        <v>0</v>
      </c>
      <c r="H83" s="40" t="n">
        <v>0</v>
      </c>
      <c r="I83" s="40" t="n">
        <v>0</v>
      </c>
      <c r="J83" s="41">
        <f>SUM(C83:I83)</f>
        <v>1.0</v>
      </c>
      <c r="K83" s="42" t="n"/>
    </row>
    <row r="84">
      <c r="A84" s="38" t="inlineStr">
        <is>
          <t>立式切菜器</t>
        </is>
      </c>
      <c r="B84" s="39" t="inlineStr">
        <is>
          <t>C</t>
        </is>
      </c>
      <c r="C84" s="40" t="n">
        <v>1</v>
      </c>
      <c r="D84" s="40" t="n">
        <v>0</v>
      </c>
      <c r="E84" s="40" t="n">
        <v>0</v>
      </c>
      <c r="F84" s="40" t="n">
        <v>0</v>
      </c>
      <c r="G84" s="40" t="n">
        <v>0</v>
      </c>
      <c r="H84" s="40" t="n">
        <v>0</v>
      </c>
      <c r="I84" s="40" t="n">
        <v>0</v>
      </c>
      <c r="J84" s="41">
        <f>SUM(C84:I84)</f>
        <v>1.0</v>
      </c>
      <c r="K84" s="42" t="n"/>
    </row>
    <row r="85">
      <c r="A85" s="38" t="inlineStr">
        <is>
          <t>艾柱</t>
        </is>
      </c>
      <c r="B85" s="39" t="inlineStr">
        <is>
          <t>B</t>
        </is>
      </c>
      <c r="C85" s="40" t="n">
        <v>1</v>
      </c>
      <c r="D85" s="40" t="n">
        <v>0</v>
      </c>
      <c r="E85" s="40" t="n">
        <v>0</v>
      </c>
      <c r="F85" s="40" t="n">
        <v>0</v>
      </c>
      <c r="G85" s="40" t="n">
        <v>0</v>
      </c>
      <c r="H85" s="40" t="n">
        <v>0</v>
      </c>
      <c r="I85" s="40" t="n">
        <v>0</v>
      </c>
      <c r="J85" s="41">
        <f>SUM(C85:I85)</f>
        <v>1.0</v>
      </c>
      <c r="K85" s="42" t="n"/>
    </row>
    <row r="86">
      <c r="A86" s="38" t="inlineStr">
        <is>
          <t>艾灸盒</t>
        </is>
      </c>
      <c r="B86" s="39" t="inlineStr">
        <is>
          <t>C</t>
        </is>
      </c>
      <c r="C86" s="40" t="n">
        <v>1</v>
      </c>
      <c r="D86" s="40" t="n">
        <v>0</v>
      </c>
      <c r="E86" s="40" t="n">
        <v>0</v>
      </c>
      <c r="F86" s="40" t="n">
        <v>0</v>
      </c>
      <c r="G86" s="40" t="n">
        <v>0</v>
      </c>
      <c r="H86" s="40" t="n">
        <v>0</v>
      </c>
      <c r="I86" s="40" t="n">
        <v>0</v>
      </c>
      <c r="J86" s="41">
        <f>SUM(C86:I86)</f>
        <v>1.0</v>
      </c>
      <c r="K86" s="42" t="n"/>
    </row>
    <row r="87">
      <c r="A87" s="38" t="inlineStr">
        <is>
          <t>芦荟胶</t>
        </is>
      </c>
      <c r="B87" s="39" t="inlineStr">
        <is>
          <t>B</t>
        </is>
      </c>
      <c r="C87" s="40" t="n">
        <v>0</v>
      </c>
      <c r="D87" s="40" t="n">
        <v>0</v>
      </c>
      <c r="E87" s="40" t="n">
        <v>0</v>
      </c>
      <c r="F87" s="40" t="n">
        <v>0</v>
      </c>
      <c r="G87" s="40" t="n">
        <v>0</v>
      </c>
      <c r="H87" s="40" t="n">
        <v>1</v>
      </c>
      <c r="I87" s="40" t="n">
        <v>0</v>
      </c>
      <c r="J87" s="41">
        <f>SUM(C87:I87)</f>
        <v>1.0</v>
      </c>
      <c r="K87" s="42" t="n"/>
    </row>
    <row r="88">
      <c r="A88" s="38" t="inlineStr">
        <is>
          <t>豆浆机</t>
        </is>
      </c>
      <c r="B88" s="39" t="inlineStr">
        <is>
          <t>B</t>
        </is>
      </c>
      <c r="C88" s="40" t="n">
        <v>0</v>
      </c>
      <c r="D88" s="40" t="n">
        <v>1</v>
      </c>
      <c r="E88" s="40" t="n">
        <v>0</v>
      </c>
      <c r="F88" s="40" t="n">
        <v>0</v>
      </c>
      <c r="G88" s="40" t="n">
        <v>0</v>
      </c>
      <c r="H88" s="40" t="n">
        <v>0</v>
      </c>
      <c r="I88" s="40" t="n">
        <v>0</v>
      </c>
      <c r="J88" s="41">
        <f>SUM(C88:I88)</f>
        <v>1.0</v>
      </c>
      <c r="K88" s="42" t="n"/>
    </row>
    <row r="89">
      <c r="A89" s="38" t="inlineStr">
        <is>
          <t>起泡网</t>
        </is>
      </c>
      <c r="B89" s="39" t="inlineStr">
        <is>
          <t>A</t>
        </is>
      </c>
      <c r="C89" s="40" t="n">
        <v>0</v>
      </c>
      <c r="D89" s="40" t="n">
        <v>0</v>
      </c>
      <c r="E89" s="40" t="n">
        <v>0</v>
      </c>
      <c r="F89" s="40" t="n">
        <v>0</v>
      </c>
      <c r="G89" s="40" t="n">
        <v>0</v>
      </c>
      <c r="H89" s="40" t="n">
        <v>0</v>
      </c>
      <c r="I89" s="40" t="n">
        <v>1</v>
      </c>
      <c r="J89" s="41">
        <f>SUM(C89:I89)</f>
        <v>1.0</v>
      </c>
      <c r="K89" s="42" t="n"/>
    </row>
    <row r="90">
      <c r="A90" s="38" t="inlineStr">
        <is>
          <t>超声波清洗机</t>
        </is>
      </c>
      <c r="B90" s="39" t="inlineStr">
        <is>
          <t>A</t>
        </is>
      </c>
      <c r="C90" s="40" t="n">
        <v>1</v>
      </c>
      <c r="D90" s="40" t="n">
        <v>0</v>
      </c>
      <c r="E90" s="40" t="n">
        <v>0</v>
      </c>
      <c r="F90" s="40" t="n">
        <v>0</v>
      </c>
      <c r="G90" s="40" t="n">
        <v>0</v>
      </c>
      <c r="H90" s="40" t="n">
        <v>0</v>
      </c>
      <c r="I90" s="40" t="n">
        <v>0</v>
      </c>
      <c r="J90" s="41">
        <f>SUM(C90:I90)</f>
        <v>1.0</v>
      </c>
      <c r="K90" s="42" t="n"/>
    </row>
    <row r="91">
      <c r="A91" s="38" t="inlineStr">
        <is>
          <t>迷你拖把</t>
        </is>
      </c>
      <c r="B91" s="39" t="inlineStr">
        <is>
          <t>B</t>
        </is>
      </c>
      <c r="C91" s="40" t="n">
        <v>0</v>
      </c>
      <c r="D91" s="40" t="n">
        <v>0</v>
      </c>
      <c r="E91" s="40" t="n">
        <v>0</v>
      </c>
      <c r="F91" s="40" t="n">
        <v>0</v>
      </c>
      <c r="G91" s="40" t="n">
        <v>0</v>
      </c>
      <c r="H91" s="40" t="n">
        <v>0</v>
      </c>
      <c r="I91" s="40" t="n">
        <v>1</v>
      </c>
      <c r="J91" s="41">
        <f>SUM(C91:I91)</f>
        <v>1.0</v>
      </c>
      <c r="K91" s="42" t="n"/>
    </row>
    <row r="92">
      <c r="A92" s="38" t="inlineStr">
        <is>
          <t>迷你清洗杯</t>
        </is>
      </c>
      <c r="B92" s="39" t="inlineStr">
        <is>
          <t>A</t>
        </is>
      </c>
      <c r="C92" s="40" t="n">
        <v>0</v>
      </c>
      <c r="D92" s="40" t="n">
        <v>0</v>
      </c>
      <c r="E92" s="40" t="n">
        <v>0</v>
      </c>
      <c r="F92" s="40" t="n">
        <v>0</v>
      </c>
      <c r="G92" s="40" t="n">
        <v>0</v>
      </c>
      <c r="H92" s="40" t="n">
        <v>1</v>
      </c>
      <c r="I92" s="40" t="n">
        <v>0</v>
      </c>
      <c r="J92" s="41">
        <f>SUM(C92:I92)</f>
        <v>1.0</v>
      </c>
      <c r="K92" s="42" t="n"/>
    </row>
    <row r="93">
      <c r="A93" s="38" t="inlineStr">
        <is>
          <t>除螨皂</t>
        </is>
      </c>
      <c r="B93" s="39" t="inlineStr">
        <is>
          <t>B</t>
        </is>
      </c>
      <c r="C93" s="40" t="n">
        <v>0</v>
      </c>
      <c r="D93" s="40" t="n">
        <v>0</v>
      </c>
      <c r="E93" s="40" t="n">
        <v>0</v>
      </c>
      <c r="F93" s="40" t="n">
        <v>0</v>
      </c>
      <c r="G93" s="40" t="n">
        <v>0</v>
      </c>
      <c r="H93" s="40" t="n">
        <v>0</v>
      </c>
      <c r="I93" s="40" t="n">
        <v>1</v>
      </c>
      <c r="J93" s="41">
        <f>SUM(C93:I93)</f>
        <v>1.0</v>
      </c>
      <c r="K93" s="42" t="n"/>
    </row>
    <row r="94">
      <c r="A94" s="38" t="inlineStr">
        <is>
          <t>隐形眼镜清洁盒</t>
        </is>
      </c>
      <c r="B94" s="39" t="inlineStr">
        <is>
          <t>B</t>
        </is>
      </c>
      <c r="C94" s="40" t="n">
        <v>1</v>
      </c>
      <c r="D94" s="40" t="n">
        <v>0</v>
      </c>
      <c r="E94" s="40" t="n">
        <v>0</v>
      </c>
      <c r="F94" s="40" t="n">
        <v>0</v>
      </c>
      <c r="G94" s="40" t="n">
        <v>0</v>
      </c>
      <c r="H94" s="40" t="n">
        <v>0</v>
      </c>
      <c r="I94" s="40" t="n">
        <v>0</v>
      </c>
      <c r="J94" s="41">
        <f>SUM(C94:I94)</f>
        <v>1.0</v>
      </c>
      <c r="K94" s="42" t="n"/>
    </row>
    <row r="95">
      <c r="A95" s="43" t="inlineStr">
        <is>
          <t>合计</t>
        </is>
      </c>
      <c r="B95" s="44" t="inlineStr"/>
      <c r="C95" s="45">
        <f>SUM(C3:C94)</f>
        <v>279.0</v>
      </c>
      <c r="D95" s="45">
        <f>SUM(D3:D94)</f>
        <v>64.0</v>
      </c>
      <c r="E95" s="45">
        <f>SUM(E3:E94)</f>
        <v>2.0</v>
      </c>
      <c r="F95" s="45">
        <f>SUM(F3:F94)</f>
        <v>162.0</v>
      </c>
      <c r="G95" s="45">
        <f>SUM(G3:G94)</f>
        <v>19.0</v>
      </c>
      <c r="H95" s="45">
        <f>SUM(H3:H94)</f>
        <v>42.0</v>
      </c>
      <c r="I95" s="45">
        <f>SUM(I3:I94)</f>
        <v>37.0</v>
      </c>
      <c r="J95" s="45">
        <f>SUM(J3:J94)</f>
        <v>605.0</v>
      </c>
      <c r="K95" s="42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A5A5A5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20" customWidth="1" min="4" max="4"/>
    <col width="20" customWidth="1" min="5" max="5"/>
    <col width="26" customWidth="1" min="6" max="6"/>
  </cols>
  <sheetData>
    <row r="1" ht="28" customHeight="1">
      <c r="A1" s="46" t="inlineStr">
        <is>
          <t>定价与上架策略手册</t>
        </is>
      </c>
    </row>
    <row r="3" ht="24" customHeight="1">
      <c r="A3" s="47" t="inlineStr">
        <is>
          <t>一、定价原则</t>
        </is>
      </c>
    </row>
    <row r="4" ht="34" customHeight="1">
      <c r="A4" s="48" t="inlineStr">
        <is>
          <t>竞品锚定</t>
        </is>
      </c>
      <c r="B4" s="49" t="inlineStr">
        <is>
          <t>建议售价基于闲鱼在售竞品价格分位测算；优先取「全新未拆封」子集的中位价（本表货源为全新货），避开二手折价干扰。</t>
        </is>
      </c>
      <c r="C4" s="10" t="n"/>
      <c r="D4" s="10" t="n"/>
      <c r="E4" s="10" t="n"/>
      <c r="F4" s="10" t="n"/>
    </row>
    <row r="5" ht="34" customHeight="1">
      <c r="A5" s="50" t="inlineStr">
        <is>
          <t>分位取值</t>
        </is>
      </c>
      <c r="B5" s="51" t="inlineStr">
        <is>
          <t>S/A 级取 P25–P50 主流走量带；B/C 级取 P10–P25 低价冲量带；D 级仅求快速回笼资金。</t>
        </is>
      </c>
      <c r="C5" s="4" t="n"/>
      <c r="D5" s="4" t="n"/>
      <c r="E5" s="4" t="n"/>
      <c r="F5" s="4" t="n"/>
    </row>
    <row r="6" ht="34" customHeight="1">
      <c r="A6" s="48" t="inlineStr">
        <is>
          <t>保本红线</t>
        </is>
      </c>
      <c r="B6" s="49" t="inlineStr">
        <is>
          <t>最低可接受价 = P10 × 0.95。低于此价上架即亏，需核对进货成本后决定是否放弃。</t>
        </is>
      </c>
      <c r="C6" s="10" t="n"/>
      <c r="D6" s="10" t="n"/>
      <c r="E6" s="10" t="n"/>
      <c r="F6" s="10" t="n"/>
    </row>
    <row r="7" ht="34" customHeight="1">
      <c r="A7" s="50" t="inlineStr">
        <is>
          <t>成本核算</t>
        </is>
      </c>
      <c r="B7" s="51" t="inlineStr">
        <is>
          <t>净利 = 建议售价 − 进货成本 − 运费 − 平台费。净利低于 ¥8 的 SKU 建议直接放弃。</t>
        </is>
      </c>
      <c r="C7" s="4" t="n"/>
      <c r="D7" s="4" t="n"/>
      <c r="E7" s="4" t="n"/>
      <c r="F7" s="4" t="n"/>
    </row>
    <row r="8" ht="34" customHeight="1">
      <c r="A8" s="48" t="inlineStr">
        <is>
          <t>通货提示</t>
        </is>
      </c>
      <c r="B8" s="49" t="inlineStr">
        <is>
          <t>本表多为通货/白牌，定价务必低于同款品牌旗舰；用「批量清仓/尾货/公司福利」解释低价，转化率明显更高。</t>
        </is>
      </c>
      <c r="C8" s="10" t="n"/>
      <c r="D8" s="10" t="n"/>
      <c r="E8" s="10" t="n"/>
      <c r="F8" s="10" t="n"/>
    </row>
    <row r="10" ht="24" customHeight="1">
      <c r="A10" s="47" t="inlineStr">
        <is>
          <t>二、标题与主图</t>
        </is>
      </c>
    </row>
    <row r="11" ht="34" customHeight="1">
      <c r="A11" s="50" t="inlineStr">
        <is>
          <t>标题公式</t>
        </is>
      </c>
      <c r="B11" s="51" t="inlineStr">
        <is>
          <t>品牌 + 品类 + 核心参数 + 「全新未拆封」+ 「实拍」。例：康佳 便携式剃须刀 双刀头防水Type-C充电 全新未拆封 实拍</t>
        </is>
      </c>
      <c r="C11" s="4" t="n"/>
      <c r="D11" s="4" t="n"/>
      <c r="E11" s="4" t="n"/>
      <c r="F11" s="4" t="n"/>
    </row>
    <row r="12" ht="34" customHeight="1">
      <c r="A12" s="48" t="inlineStr">
        <is>
          <t>主图三张</t>
        </is>
      </c>
      <c r="B12" s="49" t="inlineStr">
        <is>
          <t>①实物实拍（非官方图）②开箱/功能演示 ③尺寸对比图</t>
        </is>
      </c>
      <c r="C12" s="10" t="n"/>
      <c r="D12" s="10" t="n"/>
      <c r="E12" s="10" t="n"/>
      <c r="F12" s="10" t="n"/>
    </row>
    <row r="13" ht="34" customHeight="1">
      <c r="A13" s="50" t="inlineStr">
        <is>
          <t>搜索词</t>
        </is>
      </c>
      <c r="B13" s="51" t="inlineStr">
        <is>
          <t>标题覆盖用户真实搜索词：品类词 + 属性词（便携/防水/无线/迷你）+ 场景词（学生/差旅/送礼）。</t>
        </is>
      </c>
      <c r="C13" s="4" t="n"/>
      <c r="D13" s="4" t="n"/>
      <c r="E13" s="4" t="n"/>
      <c r="F13" s="4" t="n"/>
    </row>
    <row r="15" ht="24" customHeight="1">
      <c r="A15" s="47" t="inlineStr">
        <is>
          <t>三、上架与售后风控</t>
        </is>
      </c>
    </row>
    <row r="16" ht="34" customHeight="1">
      <c r="A16" s="48" t="inlineStr">
        <is>
          <t>电器必拍</t>
        </is>
      </c>
      <c r="B16" s="49" t="inlineStr">
        <is>
          <t>电器类上架前拍 15 秒开箱视频存档，可大幅降低退货纠纷与「描述不符」投诉。</t>
        </is>
      </c>
      <c r="C16" s="10" t="n"/>
      <c r="D16" s="10" t="n"/>
      <c r="E16" s="10" t="n"/>
      <c r="F16" s="10" t="n"/>
    </row>
    <row r="17" ht="34" customHeight="1">
      <c r="A17" s="50" t="inlineStr">
        <is>
          <t>成色描述</t>
        </is>
      </c>
      <c r="B17" s="51" t="inlineStr">
        <is>
          <t>如实写明功能状态、有无划痕、是否拆封；低价商品尤其要写清「为什么低价」。</t>
        </is>
      </c>
      <c r="C17" s="4" t="n"/>
      <c r="D17" s="4" t="n"/>
      <c r="E17" s="4" t="n"/>
      <c r="F17" s="4" t="n"/>
    </row>
    <row r="18" ht="34" customHeight="1">
      <c r="A18" s="48" t="inlineStr">
        <is>
          <t>耗材组合</t>
        </is>
      </c>
      <c r="B18" s="49" t="inlineStr">
        <is>
          <t>刀头/磨头/袋装/口罩等耗材单独建合集链接，与主机打包做「主品+耗材」组合价，锁定复购。</t>
        </is>
      </c>
      <c r="C18" s="10" t="n"/>
      <c r="D18" s="10" t="n"/>
      <c r="E18" s="10" t="n"/>
      <c r="F18" s="10" t="n"/>
    </row>
    <row r="19" ht="34" customHeight="1">
      <c r="A19" s="50" t="inlineStr">
        <is>
          <t>合规红线</t>
        </is>
      </c>
      <c r="B19" s="51" t="inlineStr">
        <is>
          <t>洗眼液/明目护眼液/漱口水/芦荟胶/强脉冲光/脱毛仪等强监管品类，个人商家不建议上架；标题禁用「治疗/根治/祛斑/杀菌」等词。</t>
        </is>
      </c>
      <c r="C19" s="4" t="n"/>
      <c r="D19" s="4" t="n"/>
      <c r="E19" s="4" t="n"/>
      <c r="F19" s="4" t="n"/>
    </row>
    <row r="21" ht="24" customHeight="1">
      <c r="A21" s="47" t="inlineStr">
        <is>
          <t>四、节奏建议</t>
        </is>
      </c>
    </row>
    <row r="22" ht="34" customHeight="1">
      <c r="A22" s="48" t="inlineStr">
        <is>
          <t>首批上架</t>
        </is>
      </c>
      <c r="B22" s="49" t="inlineStr">
        <is>
          <t>先上 S+A 级品类全部 SKU（建议 30–60 个链接），跑通自然流量后再扩。</t>
        </is>
      </c>
      <c r="C22" s="10" t="n"/>
      <c r="D22" s="10" t="n"/>
      <c r="E22" s="10" t="n"/>
      <c r="F22" s="10" t="n"/>
    </row>
    <row r="23" ht="34" customHeight="1">
      <c r="A23" s="50" t="inlineStr">
        <is>
          <t>测款节奏</t>
        </is>
      </c>
      <c r="B23" s="51" t="inlineStr">
        <is>
          <t>上架后 7 天内出单即补货并加投；满 14 天零出单则降价一档或下架换品。</t>
        </is>
      </c>
      <c r="C23" s="4" t="n"/>
      <c r="D23" s="4" t="n"/>
      <c r="E23" s="4" t="n"/>
      <c r="F23" s="4" t="n"/>
    </row>
    <row r="24" ht="34" customHeight="1">
      <c r="A24" s="48" t="inlineStr">
        <is>
          <t>季节备货</t>
        </is>
      </c>
      <c r="B24" s="49" t="inlineStr">
        <is>
          <t>夏季备风扇/挂腰风扇/防晒口罩/驱蚊手环；冬季备毛球修剪器/烘鞋器/保暖口罩/暖菜板；春季备修足器/除螨仪。</t>
        </is>
      </c>
      <c r="C24" s="10" t="n"/>
      <c r="D24" s="10" t="n"/>
      <c r="E24" s="10" t="n"/>
      <c r="F24" s="10" t="n"/>
    </row>
    <row r="25" ht="34" customHeight="1">
      <c r="A25" s="50" t="inlineStr">
        <is>
          <t>复购运营</t>
        </is>
      </c>
      <c r="B25" s="51" t="inlineStr">
        <is>
          <t>耗材类主品成交后 15 天内推送耗材复购提醒，耗材毛利率通常高于主品。</t>
        </is>
      </c>
      <c r="C25" s="4" t="n"/>
      <c r="D25" s="4" t="n"/>
      <c r="E25" s="4" t="n"/>
      <c r="F25" s="4" t="n"/>
    </row>
  </sheetData>
  <mergeCells count="21">
    <mergeCell ref="B4:F4"/>
    <mergeCell ref="B7:F7"/>
    <mergeCell ref="B16:F16"/>
    <mergeCell ref="B25:F25"/>
    <mergeCell ref="B22:F22"/>
    <mergeCell ref="A3:F3"/>
    <mergeCell ref="A21:F21"/>
    <mergeCell ref="B18:F18"/>
    <mergeCell ref="B12:F12"/>
    <mergeCell ref="B11:F11"/>
    <mergeCell ref="B23:F23"/>
    <mergeCell ref="B8:F8"/>
    <mergeCell ref="B17:F17"/>
    <mergeCell ref="B13:F13"/>
    <mergeCell ref="A10:F10"/>
    <mergeCell ref="B19:F19"/>
    <mergeCell ref="A15:F15"/>
    <mergeCell ref="B6:F6"/>
    <mergeCell ref="B24:F24"/>
    <mergeCell ref="A1:F1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闲鱼选品评级明细表</dc:title>
  <dcterms:created xmlns:dcterms="http://purl.org/dc/terms/" xmlns:xsi="http://www.w3.org/2001/XMLSchema-instance" xsi:type="dcterms:W3CDTF">2026-10-30T07:32:10Z</dcterms:created>
  <dcterms:modified xmlns:dcterms="http://purl.org/dc/terms/" xmlns:xsi="http://www.w3.org/2001/XMLSchema-instance" xsi:type="dcterms:W3CDTF">2026-10-30T07:32:11Z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{"Label":"1","ContentProducer":"00119111010856365494821B355","ProduceID":"a196c117192c4536b594090aa6ee30da","ContentPropagator":"00119111010856365494821B355","PropagateID":"a196c117192c4536b594090aa6ee30da"}</vt:lpwstr>
  </property>
</Properties>
</file>